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Start Here" sheetId="1" state="visible" r:id="rId3"/>
    <sheet name="🧠 Style Quiz" sheetId="2" state="visible" r:id="rId4"/>
    <sheet name="🟢 Structured Budget" sheetId="3" state="visible" r:id="rId5"/>
    <sheet name="🟡 Flexible Budget" sheetId="4" state="visible" r:id="rId6"/>
    <sheet name="🔵 Minimalist Budge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<sst xmlns="http://schemas.openxmlformats.org/spreadsheetml/2006/main" count="288" uniqueCount="269">
  <si>
    <t xml:space="preserve">  Your First Budget That Actually Sticks</t>
  </si>
  <si>
    <t xml:space="preserve">  A 7-Day System built around your personality — not a spreadsheet you'll hate.</t>
  </si>
  <si>
    <t xml:space="preserve">    YOUR 3-STEP JOURNEY</t>
  </si>
  <si>
    <t xml:space="preserve">  STEP 1 — 🧠  Take the Quiz</t>
  </si>
  <si>
    <t xml:space="preserve">→ Go to: 🧠 Style Quiz</t>
  </si>
  <si>
    <t xml:space="preserve">  Answer 15 questions about your money personality. Takes 3 minutes. Your score reveals which budget style fits how your brain actually works.</t>
  </si>
  <si>
    <t xml:space="preserve">  STEP 2 — 📊  Use Your Budget</t>
  </si>
  <si>
    <t xml:space="preserve">→ Go to: Your matched budget sheet</t>
  </si>
  <si>
    <t xml:space="preserve">  Open the sheet that matches your result. Enter your income. Fill in your numbers. The math does itself.</t>
  </si>
  <si>
    <t xml:space="preserve">  STEP 3 — 🚑  Use Budget Rescue</t>
  </si>
  <si>
    <t xml:space="preserve">  Life happens. When it does, scroll to the Budget Rescue section of your sheet. It tells you exactly what to do without abandoning your plan.</t>
  </si>
  <si>
    <t xml:space="preserve">    WHAT'S IN THIS FILE</t>
  </si>
  <si>
    <t xml:space="preserve">  📋 Start Here</t>
  </si>
  <si>
    <t xml:space="preserve">This page. Navigation and overview.</t>
  </si>
  <si>
    <t xml:space="preserve">  🧠 Style Quiz</t>
  </si>
  <si>
    <t xml:space="preserve">15-question personality quiz. Scores calculate automatically and recommend your budget type.</t>
  </si>
  <si>
    <t xml:space="preserve">  🟢 Structured Budget</t>
  </si>
  <si>
    <t xml:space="preserve">Zero-based method. Every dollar assigned to a category. Best for detail-oriented planners.</t>
  </si>
  <si>
    <t xml:space="preserve">  🟡 Flexible Budget</t>
  </si>
  <si>
    <t xml:space="preserve">50/30/20 method. Broad zones, not line items. Best for values-focused, flexible spenders.</t>
  </si>
  <si>
    <t xml:space="preserve">  🔵 Minimalist Budget</t>
  </si>
  <si>
    <t xml:space="preserve">Anti-budget method. Automate savings first, spend the rest freely. Best for low-maintenance types.</t>
  </si>
  <si>
    <t xml:space="preserve">    QUICK REFERENCE — WHAT TO TYPE</t>
  </si>
  <si>
    <t xml:space="preserve">  🟡 Yellow cells</t>
  </si>
  <si>
    <t xml:space="preserve">Your income — enter your actual take-home pay here</t>
  </si>
  <si>
    <t xml:space="preserve">  🔵 Blue numbers</t>
  </si>
  <si>
    <t xml:space="preserve">Suggested starting amounts — change these to match your real life</t>
  </si>
  <si>
    <t xml:space="preserve">  🟣 Purple cells</t>
  </si>
  <si>
    <t xml:space="preserve">Actual spending — enter what you actually spent</t>
  </si>
  <si>
    <t xml:space="preserve">  ⬛ Black numbers</t>
  </si>
  <si>
    <t xml:space="preserve">Formulas — these calculate automatically, do not type here</t>
  </si>
  <si>
    <t xml:space="preserve">    THE 7-DAY PLAN</t>
  </si>
  <si>
    <t xml:space="preserve">  Day 1 — Take the Style Quiz</t>
  </si>
  <si>
    <t xml:space="preserve">  Complete all 15 questions. Read your result. Note which budget sheet is yours.</t>
  </si>
  <si>
    <t xml:space="preserve">  Day 2 — Enter your income</t>
  </si>
  <si>
    <t xml:space="preserve">  Open your budget sheet. Put your real take-home pay in the yellow cell.</t>
  </si>
  <si>
    <t xml:space="preserve">  Day 3 — Fill in your numbers</t>
  </si>
  <si>
    <t xml:space="preserve">  Update the default amounts to match your real expenses and goals.</t>
  </si>
  <si>
    <t xml:space="preserve">  Day 4 — Track this week's spending</t>
  </si>
  <si>
    <t xml:space="preserve">  Enter what you actually spent so far this week in the Actual column.</t>
  </si>
  <si>
    <t xml:space="preserve">  Day 5 — Review and adjust</t>
  </si>
  <si>
    <t xml:space="preserve">  Look at any red or 'over' flags. Move budget amounts around — no shame, just math.</t>
  </si>
  <si>
    <t xml:space="preserve">  Day 6 — Set up automation (if applicable)</t>
  </si>
  <si>
    <t xml:space="preserve">  Minimalist users: set up auto-transfers today. Others: create a calendar reminder for month-end check-in.</t>
  </si>
  <si>
    <t xml:space="preserve">  Day 7 — Commit to 30 days</t>
  </si>
  <si>
    <t xml:space="preserve">  You don't need a perfect budget. You need one you'll use. Commit to 30 days with what you have.</t>
  </si>
  <si>
    <t xml:space="preserve">  A budget that fits your personality is one you'll actually use — and that's the only one that works.</t>
  </si>
  <si>
    <t xml:space="preserve">  🧠 Budget Personality Quiz</t>
  </si>
  <si>
    <t xml:space="preserve">  Answer honestly — no right or wrong. Your score reveals which budget style fits your real life.</t>
  </si>
  <si>
    <t xml:space="preserve">📋  How to use: Read each statement. Pick the score that best describes you. Your totals auto-calculate below.</t>
  </si>
  <si>
    <t xml:space="preserve">  1 = Never like me   |   2 = Rarely   |   3 = Sometimes   |   4 = Often   |   5 = Always like me</t>
  </si>
  <si>
    <t xml:space="preserve">Statement</t>
  </si>
  <si>
    <t xml:space="preserve">Type A</t>
  </si>
  <si>
    <t xml:space="preserve">Type B</t>
  </si>
  <si>
    <t xml:space="preserve">Type C</t>
  </si>
  <si>
    <t xml:space="preserve">Your Score (1–5)</t>
  </si>
  <si>
    <t xml:space="preserve">1.  I feel calmer when I know exactly where every dollar is going.</t>
  </si>
  <si>
    <t xml:space="preserve">2.  I'd rather set broad spending zones than track every category.</t>
  </si>
  <si>
    <t xml:space="preserve">3.  Checking my bank account stresses me out more than helps me.</t>
  </si>
  <si>
    <t xml:space="preserve">4.  I like filling in spreadsheets or tracking apps — it gives me satisfaction.</t>
  </si>
  <si>
    <t xml:space="preserve">5.  I spend mindfully without needing a formal system.</t>
  </si>
  <si>
    <t xml:space="preserve">6.  I overspend most when I don't have a clear rule to follow.</t>
  </si>
  <si>
    <t xml:space="preserve">7.  I prefer 'pay yourself first' — save automatically and spend what's left.</t>
  </si>
  <si>
    <t xml:space="preserve">8.  Budgeting apps make me feel guilty, not motivated.</t>
  </si>
  <si>
    <t xml:space="preserve">9.  I want a budget that flexes with my mood and month, not a rigid plan.</t>
  </si>
  <si>
    <t xml:space="preserve">10.  I've quit budgeting before because it felt like too much maintenance.</t>
  </si>
  <si>
    <t xml:space="preserve">11.  I like knowing I have 'permission' to spend in certain categories.</t>
  </si>
  <si>
    <t xml:space="preserve">12.  I trust myself to make good spending decisions without a detailed plan.</t>
  </si>
  <si>
    <t xml:space="preserve">13.  Having separate accounts or envelopes for different goals makes sense to me.</t>
  </si>
  <si>
    <t xml:space="preserve">14.  I'd rather automate my finances and rarely check in than monitor them closely.</t>
  </si>
  <si>
    <t xml:space="preserve">15.  I feel most in control when my budget is built around my values, not categories.</t>
  </si>
  <si>
    <t xml:space="preserve">    📊  Your Results</t>
  </si>
  <si>
    <t xml:space="preserve">  Type A — Structured Planner  </t>
  </si>
  <si>
    <t xml:space="preserve">← Your match score</t>
  </si>
  <si>
    <t xml:space="preserve">  Type B — Flexible Spender  </t>
  </si>
  <si>
    <t xml:space="preserve">  Type C — Minimalist  </t>
  </si>
  <si>
    <t xml:space="preserve">  What each type means:</t>
  </si>
  <si>
    <t xml:space="preserve">🟢 Structured Planner</t>
  </si>
  <si>
    <t xml:space="preserve">You thrive with clear categories, rules, and tracking. The zero-based or envelope system works best for you.</t>
  </si>
  <si>
    <t xml:space="preserve">🟡 Flexible Spender</t>
  </si>
  <si>
    <t xml:space="preserve">You need freedom within a framework. The 50/30/20 or values-based budget is your sweet spot.</t>
  </si>
  <si>
    <t xml:space="preserve">🔵 Minimalist</t>
  </si>
  <si>
    <t xml:space="preserve">You hate maintenance. Automate savings, set spending guardrails, and check in monthly — that's it.</t>
  </si>
  <si>
    <t xml:space="preserve">  Fill in column F above (scores 1–5) to get your personalized recommendation</t>
  </si>
  <si>
    <t xml:space="preserve">  🟢 Structured Budget — Zero-Based Method</t>
  </si>
  <si>
    <t xml:space="preserve">  Every dollar gets a job. Income minus all assigned spending = $0. Built for planners who want full control.</t>
  </si>
  <si>
    <t xml:space="preserve">    HOW IT WORKS</t>
  </si>
  <si>
    <t xml:space="preserve">  1. Enter your monthly take-home income in the yellow cell below.</t>
  </si>
  <si>
    <t xml:space="preserve">  2. Type your budgeted amount for each category. Assign EVERY dollar until Unassigned = $0.</t>
  </si>
  <si>
    <t xml:space="preserve">  3. As you spend, enter actual amounts. The Remaining column shows what's left in each envelope.</t>
  </si>
  <si>
    <t xml:space="preserve">    MONTHLY INCOME</t>
  </si>
  <si>
    <t xml:space="preserve">Monthly Take-Home Income</t>
  </si>
  <si>
    <t xml:space="preserve">← Replace with your actual take-home pay</t>
  </si>
  <si>
    <t xml:space="preserve">    BUDGET CATEGORIES</t>
  </si>
  <si>
    <t xml:space="preserve">Category</t>
  </si>
  <si>
    <t xml:space="preserve">Budgeted $</t>
  </si>
  <si>
    <t xml:space="preserve">Actual Spent $</t>
  </si>
  <si>
    <t xml:space="preserve">Remaining $</t>
  </si>
  <si>
    <t xml:space="preserve">% of Budget</t>
  </si>
  <si>
    <t xml:space="preserve">  🏠 HOUSING &amp; UTILITIES</t>
  </si>
  <si>
    <t xml:space="preserve">   Rent / Mortgage</t>
  </si>
  <si>
    <t xml:space="preserve">   Electric / Gas</t>
  </si>
  <si>
    <t xml:space="preserve">   Internet / Phone</t>
  </si>
  <si>
    <t xml:space="preserve">   Water / Sewer</t>
  </si>
  <si>
    <t xml:space="preserve">   Subtotal</t>
  </si>
  <si>
    <t xml:space="preserve">  🍔 FOOD</t>
  </si>
  <si>
    <t xml:space="preserve">   Groceries</t>
  </si>
  <si>
    <t xml:space="preserve">   Dining Out</t>
  </si>
  <si>
    <t xml:space="preserve">   Coffee / Snacks</t>
  </si>
  <si>
    <t xml:space="preserve">  🚗 TRANSPORTATION</t>
  </si>
  <si>
    <t xml:space="preserve">   Gas</t>
  </si>
  <si>
    <t xml:space="preserve">   Car Insurance</t>
  </si>
  <si>
    <t xml:space="preserve">   Car Payment</t>
  </si>
  <si>
    <t xml:space="preserve">   Parking / Tolls</t>
  </si>
  <si>
    <t xml:space="preserve">  💊 HEALTH</t>
  </si>
  <si>
    <t xml:space="preserve">   Health Insurance</t>
  </si>
  <si>
    <t xml:space="preserve">   Prescriptions / Copays</t>
  </si>
  <si>
    <t xml:space="preserve">   Gym</t>
  </si>
  <si>
    <t xml:space="preserve">  💰 SAVINGS &amp; INVESTING</t>
  </si>
  <si>
    <t xml:space="preserve">   Emergency Fund</t>
  </si>
  <si>
    <t xml:space="preserve">   Retirement (IRA/401k)</t>
  </si>
  <si>
    <t xml:space="preserve">   Other Savings Goal</t>
  </si>
  <si>
    <t xml:space="preserve">  🎯 PERSONAL &amp; LIFESTYLE</t>
  </si>
  <si>
    <t xml:space="preserve">   Clothing</t>
  </si>
  <si>
    <t xml:space="preserve">   Entertainment / Fun</t>
  </si>
  <si>
    <t xml:space="preserve">   Subscriptions</t>
  </si>
  <si>
    <t xml:space="preserve">   Personal Care</t>
  </si>
  <si>
    <t xml:space="preserve">   Gifts / Misc</t>
  </si>
  <si>
    <t xml:space="preserve">  📚 GROWTH &amp; DEBT</t>
  </si>
  <si>
    <t xml:space="preserve">   Student Loans</t>
  </si>
  <si>
    <t xml:space="preserve">   Credit Card Payments</t>
  </si>
  <si>
    <t xml:space="preserve">   Education / Courses</t>
  </si>
  <si>
    <t xml:space="preserve">  TOTAL BUDGETED</t>
  </si>
  <si>
    <t xml:space="preserve">  UNASSIGNED (Income − Total Budgeted)</t>
  </si>
  <si>
    <t xml:space="preserve">Goal: $0  (every dollar assigned)</t>
  </si>
  <si>
    <t xml:space="preserve">    🚑  BUDGET RESCUE — When Life Happens</t>
  </si>
  <si>
    <t xml:space="preserve">  ⚡ Unexpected expense hit</t>
  </si>
  <si>
    <t xml:space="preserve">  → Pull from the closest 'wants' category first. Then the Misc envelope. Never touch Emergency Fund except for true emergencies.</t>
  </si>
  <si>
    <t xml:space="preserve">  ⚡ Overspent a category</t>
  </si>
  <si>
    <t xml:space="preserve">  → Zero it out and borrow from a lower-priority category. Log it. Don't guilt spiral — just adjust next month.</t>
  </si>
  <si>
    <t xml:space="preserve">  ⚡ Income was less than usual</t>
  </si>
  <si>
    <t xml:space="preserve">  → Immediately cut Dining Out, Entertainment, and Subscriptions to minimum. Protect Housing, Utilities, and Debt payments first.</t>
  </si>
  <si>
    <t xml:space="preserve">  ⚡ Forgot to track for 2 weeks</t>
  </si>
  <si>
    <t xml:space="preserve">  → Pull your bank statement. Backfill actuals column. Don't abandon the budget — an imperfect one beats none.</t>
  </si>
  <si>
    <t xml:space="preserve">  ⚡ 'I hate this' feeling</t>
  </si>
  <si>
    <t xml:space="preserve">  → That feeling usually means a category is too tight. Give yourself 10% more breathing room in your top frustration category.</t>
  </si>
  <si>
    <t xml:space="preserve">  Blue cells = your inputs  ·  Purple cells = actual spending  ·  Remaining updates automatically</t>
  </si>
  <si>
    <t xml:space="preserve">  🟡 Flexible Budget — 50/30/20 Method</t>
  </si>
  <si>
    <t xml:space="preserve">  Needs · Wants · Savings. Broad zones, not line items. Adjust splits to match your values.</t>
  </si>
  <si>
    <t xml:space="preserve">  1. Enter your monthly take-home income in the yellow cell.</t>
  </si>
  <si>
    <t xml:space="preserve">  2. Adjust the split percentages if needed (e.g., 60/20/20 if rent is high in your city).</t>
  </si>
  <si>
    <t xml:space="preserve">  3. Track spending loosely — you don't need a line item for every dollar, just stay within each zone.</t>
  </si>
  <si>
    <t xml:space="preserve">    INCOME &amp; ZONE TARGETS</t>
  </si>
  <si>
    <t xml:space="preserve">← Replace with your take-home pay</t>
  </si>
  <si>
    <t xml:space="preserve">Zone</t>
  </si>
  <si>
    <t xml:space="preserve">Split %</t>
  </si>
  <si>
    <t xml:space="preserve">Monthly Target</t>
  </si>
  <si>
    <t xml:space="preserve">Actual Spent</t>
  </si>
  <si>
    <t xml:space="preserve">Remaining</t>
  </si>
  <si>
    <t xml:space="preserve">  🏠 NEEDS (Essentials)  —  Rent, utilities, groceries, insurance, minimum debt payments</t>
  </si>
  <si>
    <t xml:space="preserve">  ✨ WANTS (Lifestyle)  —  Dining out, entertainment, subscriptions, clothing, hobbies</t>
  </si>
  <si>
    <t xml:space="preserve">  💰 SAVINGS &amp; DEBT PAYOFF  —  Emergency fund, retirement, extra debt payments, goals</t>
  </si>
  <si>
    <t xml:space="preserve">  TOTAL SPLIT %</t>
  </si>
  <si>
    <t xml:space="preserve">  Should equal 100%</t>
  </si>
  <si>
    <t xml:space="preserve">  TOTAL REMAINING (all zones)</t>
  </si>
  <si>
    <t xml:space="preserve">    🎯  VALUES ALIGNMENT CHECK — Spend with Intention</t>
  </si>
  <si>
    <t xml:space="preserve">  Rate how aligned your current spending is with what you actually value. (1=not aligned, 5=perfectly aligned)</t>
  </si>
  <si>
    <t xml:space="preserve">What I Value Most</t>
  </si>
  <si>
    <t xml:space="preserve">Alignment Score</t>
  </si>
  <si>
    <t xml:space="preserve">Is my spending reflecting this?</t>
  </si>
  <si>
    <t xml:space="preserve">Action if misaligned</t>
  </si>
  <si>
    <t xml:space="preserve">  Family &amp; relationships</t>
  </si>
  <si>
    <t xml:space="preserve">Am I spending on experiences, not just things?</t>
  </si>
  <si>
    <t xml:space="preserve">Shift dining budget toward activities with loved ones</t>
  </si>
  <si>
    <t xml:space="preserve">  Health &amp; fitness</t>
  </si>
  <si>
    <t xml:space="preserve">Does my spending support my physical wellbeing?</t>
  </si>
  <si>
    <t xml:space="preserve">Protect gym/health line even when cutting</t>
  </si>
  <si>
    <t xml:space="preserve">  Career &amp; learning</t>
  </si>
  <si>
    <t xml:space="preserve">Am I investing in skills that grow my income?</t>
  </si>
  <si>
    <t xml:space="preserve">Budget a fixed amount for courses/books monthly</t>
  </si>
  <si>
    <t xml:space="preserve">  Freedom &amp; experiences</t>
  </si>
  <si>
    <t xml:space="preserve">Am I buying things or buying time/adventures?</t>
  </si>
  <si>
    <t xml:space="preserve">Cut subscriptions you forgot you have</t>
  </si>
  <si>
    <t xml:space="preserve">  Security &amp; stability</t>
  </si>
  <si>
    <t xml:space="preserve">Is my savings goal funded before wants?</t>
  </si>
  <si>
    <t xml:space="preserve">Automate savings before budgeting fun money</t>
  </si>
  <si>
    <t xml:space="preserve">  Personal joy / hobbies</t>
  </si>
  <si>
    <t xml:space="preserve">Do I have guilt-free money for what brings me joy?</t>
  </si>
  <si>
    <t xml:space="preserve">Create a 'fun money' envelope with no tracking</t>
  </si>
  <si>
    <t xml:space="preserve">    🚑  BUDGET RESCUE — Flexible Edition</t>
  </si>
  <si>
    <t xml:space="preserve">  ⚡ Overspent NEEDS zone</t>
  </si>
  <si>
    <t xml:space="preserve">  → Check if a true emergency caused it. If so, use savings. If it's creep, audit subscriptions and dining. Needs should be stable.</t>
  </si>
  <si>
    <t xml:space="preserve">  ⚡ Overspent WANTS zone</t>
  </si>
  <si>
    <t xml:space="preserve">  → Happens — especially social months. Simply reduce WANTS next month by the overage amount. No guilt, just rebalance.</t>
  </si>
  <si>
    <t xml:space="preserve">  ⚡ Savings zone underfunded</t>
  </si>
  <si>
    <t xml:space="preserve">  → Before next paycheck, move a set amount automatically. Even $50 matters. Automate it so it's not a decision.</t>
  </si>
  <si>
    <t xml:space="preserve">  ⚡ Income dropped this month</t>
  </si>
  <si>
    <t xml:space="preserve">  → Prioritize: Needs first. Then minimum debt. Then partial savings. Wants go to near-zero until income recovers.</t>
  </si>
  <si>
    <t xml:space="preserve">  ⚡ 'This is too rigid' feeling</t>
  </si>
  <si>
    <t xml:space="preserve">  → Increase your WANTS split by 5%. You can save less temporarily. A budget you follow at 85% beats one you abandon.</t>
  </si>
  <si>
    <t xml:space="preserve">  Blue/yellow cells = your inputs  ·  Purple cells = actual spending  ·  Adjust zone % anytime</t>
  </si>
  <si>
    <t xml:space="preserve">  🔵 Minimalist Budget — The Anti-Budget Method</t>
  </si>
  <si>
    <t xml:space="preserve">  Automate the important stuff first. Spend whatever's left. Check in once a month — that's it.</t>
  </si>
  <si>
    <t xml:space="preserve">    THE 3-STEP SETUP (do this once)</t>
  </si>
  <si>
    <t xml:space="preserve">  Step 1 — AUTOMATE savings on payday. Set up auto-transfers so money leaves before you can spend it.</t>
  </si>
  <si>
    <t xml:space="preserve">  Step 2 — AUTOMATE all fixed bills (rent, insurance, subscriptions) via autopay.</t>
  </si>
  <si>
    <t xml:space="preserve">  Step 3 — SPEND the rest freely. You've already handled the important stuff.</t>
  </si>
  <si>
    <t xml:space="preserve">    INCOME &amp; FREE-TO-SPEND CALCULATOR</t>
  </si>
  <si>
    <t xml:space="preserve">    SECTION A — AUTOMATE FIRST (Set &amp; Forget)</t>
  </si>
  <si>
    <t xml:space="preserve">Item</t>
  </si>
  <si>
    <t xml:space="preserve">Monthly Amount</t>
  </si>
  <si>
    <t xml:space="preserve">Account / Where</t>
  </si>
  <si>
    <t xml:space="preserve">Automated?</t>
  </si>
  <si>
    <t xml:space="preserve">Notes</t>
  </si>
  <si>
    <t xml:space="preserve">   Emergency Fund auto-transfer</t>
  </si>
  <si>
    <t xml:space="preserve">High-yield savings</t>
  </si>
  <si>
    <t xml:space="preserve">Yes</t>
  </si>
  <si>
    <t xml:space="preserve">   Retirement / IRA contribution</t>
  </si>
  <si>
    <t xml:space="preserve">Brokerage / 401k</t>
  </si>
  <si>
    <t xml:space="preserve">   Savings Goal (e.g. vacation)</t>
  </si>
  <si>
    <t xml:space="preserve">Separate savings bucket</t>
  </si>
  <si>
    <t xml:space="preserve">   Rent / Mortgage autopay</t>
  </si>
  <si>
    <t xml:space="preserve">Landlord / Bank</t>
  </si>
  <si>
    <t xml:space="preserve">   Insurance (auto/health/renters)</t>
  </si>
  <si>
    <t xml:space="preserve">Insurance company</t>
  </si>
  <si>
    <t xml:space="preserve">   Utilities autopay</t>
  </si>
  <si>
    <t xml:space="preserve">Electric / Gas / Phone</t>
  </si>
  <si>
    <t xml:space="preserve">   Minimum debt payments</t>
  </si>
  <si>
    <t xml:space="preserve">Credit card / loans</t>
  </si>
  <si>
    <t xml:space="preserve">   Other fixed expense</t>
  </si>
  <si>
    <t xml:space="preserve">  TOTAL AUTOMATED</t>
  </si>
  <si>
    <t xml:space="preserve">  ✅  FREE-TO-SPEND (Spend this however you want)</t>
  </si>
  <si>
    <t xml:space="preserve">No tracking required — this is your guilt-free spending money</t>
  </si>
  <si>
    <t xml:space="preserve">    SECTION B — MONTHLY CHECK-IN  (5 minutes, once a month)</t>
  </si>
  <si>
    <t xml:space="preserve">  This is your only regular maintenance. Answer these 5 questions each month:</t>
  </si>
  <si>
    <t xml:space="preserve">  1.  Did all automated transfers go through?</t>
  </si>
  <si>
    <t xml:space="preserve">  💡 Check bank statements for failed transfers</t>
  </si>
  <si>
    <t xml:space="preserve">  2.  Is the free-to-spend number still realistic?</t>
  </si>
  <si>
    <t xml:space="preserve">  💡 If you're regularly overdrafting, increase automation or income</t>
  </si>
  <si>
    <t xml:space="preserve">  3.  Any new fixed expenses this month?</t>
  </si>
  <si>
    <t xml:space="preserve">  💡 Add them to Section A and automate them</t>
  </si>
  <si>
    <t xml:space="preserve">  4.  Did any savings goal hit its target?</t>
  </si>
  <si>
    <t xml:space="preserve">  💡 Redirect that automation to the next goal</t>
  </si>
  <si>
    <t xml:space="preserve">  5.  Am I on track for the year's big financial goal?</t>
  </si>
  <si>
    <t xml:space="preserve">  💡 Check net worth / savings total once a quarter</t>
  </si>
  <si>
    <t xml:space="preserve">    SECTION C — SPENDING GUARDRAILS (Optional, for peace of mind)</t>
  </si>
  <si>
    <t xml:space="preserve">  Set soft limits on categories where you tend to overspend. Not a rule — just an awareness tool.</t>
  </si>
  <si>
    <t xml:space="preserve">Spend Category</t>
  </si>
  <si>
    <t xml:space="preserve">Soft Limit $</t>
  </si>
  <si>
    <t xml:space="preserve">Actual This Month</t>
  </si>
  <si>
    <t xml:space="preserve">Over/Under</t>
  </si>
  <si>
    <t xml:space="preserve">Trend</t>
  </si>
  <si>
    <t xml:space="preserve">   Dining Out / Takeout</t>
  </si>
  <si>
    <t xml:space="preserve">   Impulse / Online Shopping</t>
  </si>
  <si>
    <t xml:space="preserve">   Entertainment &amp; Nightlife</t>
  </si>
  <si>
    <t xml:space="preserve">   Clothing &amp; Accessories</t>
  </si>
  <si>
    <t xml:space="preserve">   Subscriptions (total)</t>
  </si>
  <si>
    <t xml:space="preserve">    🚑  BUDGET RESCUE — Minimalist Edition</t>
  </si>
  <si>
    <t xml:space="preserve">  ⚡ Overdrafted the account</t>
  </si>
  <si>
    <t xml:space="preserve">  → Your Free-to-Spend number is too high. Increase automated savings or reduce a fixed expense.</t>
  </si>
  <si>
    <t xml:space="preserve">  ⚡ Savings goal not growing</t>
  </si>
  <si>
    <t xml:space="preserve">  → Check if auto-transfers actually fired. Then increase the amount by $25 increments until it's automatic.</t>
  </si>
  <si>
    <t xml:space="preserve">  ⚡ Feeling financially anxious</t>
  </si>
  <si>
    <t xml:space="preserve">  → Open your bank app. See the free-to-spend balance. If it's positive, you're fine. The anxiety is often fear of the unknown, not actual crisis.</t>
  </si>
  <si>
    <t xml:space="preserve">  ⚡ Life event changed everything</t>
  </si>
  <si>
    <t xml:space="preserve">  → Pause non-emergency savings automations temporarily. Re-run this sheet with new income/expense numbers.</t>
  </si>
  <si>
    <t xml:space="preserve">  ⚡ 'I still feel out of control'</t>
  </si>
  <si>
    <t xml:space="preserve">  → Pick ONE category to track for 30 days (just one). That awareness often fixes the feeling.</t>
  </si>
  <si>
    <t xml:space="preserve">  Yellow/blue = your inputs  ·  Purple = actual spending  ·  The goal: automate everything important, then forget it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</si>
</sst>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%"/>
    <numFmt numFmtId="167" formatCode="\$#,##0"/>
  </numFmts>
  <fonts count="5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i val="true"/>
      <sz val="12"/>
      <color rgb="FFB0C4D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5E35B1"/>
      <name val="Arial"/>
      <family val="0"/>
      <charset val="1"/>
    </font>
    <font>
      <i val="true"/>
      <sz val="10"/>
      <color rgb="FF546E7A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2"/>
      <color rgb="FF0E7C86"/>
      <name val="Arial"/>
      <family val="0"/>
      <charset val="1"/>
    </font>
    <font>
      <b val="true"/>
      <sz val="12"/>
      <color rgb="FF2E7D3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b val="true"/>
      <sz val="10"/>
      <color rgb="FF0D47A1"/>
      <name val="Arial"/>
      <family val="0"/>
      <charset val="1"/>
    </font>
    <font>
      <b val="true"/>
      <sz val="10"/>
      <color rgb="FF5E35B1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b val="true"/>
      <sz val="10"/>
      <color rgb="FF0E7C86"/>
      <name val="Arial"/>
      <family val="0"/>
      <charset val="1"/>
    </font>
    <font>
      <sz val="9"/>
      <color rgb="FF333333"/>
      <name val="Arial"/>
      <family val="0"/>
      <charset val="1"/>
    </font>
    <font>
      <i val="true"/>
      <sz val="10"/>
      <color rgb="FFB0C4DE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10"/>
      <color rgb="FF333333"/>
      <name val="Arial"/>
      <family val="0"/>
      <charset val="1"/>
    </font>
    <font>
      <sz val="10"/>
      <color rgb="FF222222"/>
      <name val="Arial"/>
      <family val="0"/>
      <charset val="1"/>
    </font>
    <font>
      <sz val="10"/>
      <color rgb="FF546E7A"/>
      <name val="Arial"/>
      <family val="0"/>
      <charset val="1"/>
    </font>
    <font>
      <b val="true"/>
      <sz val="12"/>
      <color rgb="FF0D47A1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546E7A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0"/>
      <color rgb="FFFF8F00"/>
      <name val="Arial"/>
      <family val="0"/>
      <charset val="1"/>
    </font>
    <font>
      <i val="true"/>
      <sz val="9"/>
      <color rgb="FFB0C4DE"/>
      <name val="Arial"/>
      <family val="0"/>
      <charset val="1"/>
    </font>
    <font>
      <b val="true"/>
      <sz val="14"/>
      <color rgb="FF0D47A1"/>
      <name val="Arial"/>
      <family val="0"/>
      <charset val="1"/>
    </font>
    <font>
      <sz val="10"/>
      <color rgb="FF0D47A1"/>
      <name val="Arial"/>
      <family val="0"/>
      <charset val="1"/>
    </font>
    <font>
      <sz val="10"/>
      <color rgb="FF1B2A4A"/>
      <name val="Arial"/>
      <family val="0"/>
      <charset val="1"/>
    </font>
    <font>
      <b val="true"/>
      <sz val="10"/>
      <color rgb="FF546E7A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2E7D32"/>
      <name val="Arial"/>
      <family val="0"/>
      <charset val="1"/>
    </font>
    <font>
      <b val="true"/>
      <sz val="14"/>
      <color rgb="FF2E7D32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i val="true"/>
      <sz val="10"/>
      <color rgb="FFF9A825"/>
      <name val="Arial"/>
      <family val="0"/>
      <charset val="1"/>
    </font>
    <font>
      <b val="true"/>
      <sz val="9"/>
      <color rgb="FF2E7D32"/>
      <name val="Arial"/>
      <family val="0"/>
      <charset val="1"/>
    </font>
    <font>
      <b val="true"/>
      <sz val="13"/>
      <color rgb="FF0D47A1"/>
      <name val="Arial"/>
      <family val="0"/>
      <charset val="1"/>
    </font>
    <font>
      <b val="true"/>
      <sz val="13"/>
      <color rgb="FF2E7D32"/>
      <name val="Arial"/>
      <family val="0"/>
      <charset val="1"/>
    </font>
    <font>
      <b val="true"/>
      <sz val="13"/>
      <color rgb="FF222222"/>
      <name val="Arial"/>
      <family val="0"/>
      <charset val="1"/>
    </font>
    <font>
      <b val="true"/>
      <sz val="9"/>
      <color rgb="FFFF8F00"/>
      <name val="Arial"/>
      <family val="0"/>
      <charset val="1"/>
    </font>
    <font>
      <b val="true"/>
      <sz val="13"/>
      <color rgb="FFFF8F00"/>
      <name val="Arial"/>
      <family val="0"/>
      <charset val="1"/>
    </font>
    <font>
      <b val="true"/>
      <sz val="9"/>
      <color rgb="FF0E7C86"/>
      <name val="Arial"/>
      <family val="0"/>
      <charset val="1"/>
    </font>
    <font>
      <b val="true"/>
      <sz val="13"/>
      <color rgb="FF0E7C86"/>
      <name val="Arial"/>
      <family val="0"/>
      <charset val="1"/>
    </font>
    <font>
      <b val="true"/>
      <sz val="11"/>
      <color rgb="FFFF8F00"/>
      <name val="Arial"/>
      <family val="0"/>
      <charset val="1"/>
    </font>
    <font>
      <b val="true"/>
      <sz val="14"/>
      <color rgb="FFFF8F00"/>
      <name val="Arial"/>
      <family val="0"/>
      <charset val="1"/>
    </font>
    <font>
      <i val="true"/>
      <sz val="9"/>
      <color rgb="FF333333"/>
      <name val="Arial"/>
      <family val="0"/>
      <charset val="1"/>
    </font>
    <font>
      <sz val="9"/>
      <color rgb="FFFF8F00"/>
      <name val="Arial"/>
      <family val="0"/>
      <charset val="1"/>
    </font>
    <font>
      <i val="true"/>
      <sz val="10"/>
      <color rgb="FFB2EBF2"/>
      <name val="Arial"/>
      <family val="0"/>
      <charset val="1"/>
    </font>
    <font>
      <sz val="10"/>
      <color rgb="FF0E7C86"/>
      <name val="Arial"/>
      <family val="0"/>
      <charset val="1"/>
    </font>
    <font>
      <b val="true"/>
      <sz val="16"/>
      <color rgb="FF0E7C86"/>
      <name val="Arial"/>
      <family val="0"/>
      <charset val="1"/>
    </font>
    <font>
      <i val="true"/>
      <sz val="9"/>
      <color rgb="FF0E7C86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B2A4A"/>
        <bgColor rgb="FF222222"/>
      </patternFill>
    </fill>
    <fill>
      <patternFill patternType="solid">
        <fgColor rgb="FFFFFFFF"/>
        <bgColor rgb="FFF4F6F9"/>
      </patternFill>
    </fill>
    <fill>
      <patternFill patternType="solid">
        <fgColor rgb="FF0E7C86"/>
        <bgColor rgb="FF008080"/>
      </patternFill>
    </fill>
    <fill>
      <patternFill patternType="solid">
        <fgColor rgb="FFEDE7F6"/>
        <bgColor rgb="FFECEFF1"/>
      </patternFill>
    </fill>
    <fill>
      <patternFill patternType="solid">
        <fgColor rgb="FFD6F0F2"/>
        <bgColor rgb="FFE8F5E9"/>
      </patternFill>
    </fill>
    <fill>
      <patternFill patternType="solid">
        <fgColor rgb="FFE8F5E9"/>
        <bgColor rgb="FFECEFF1"/>
      </patternFill>
    </fill>
    <fill>
      <patternFill patternType="solid">
        <fgColor rgb="FFF4F6F9"/>
        <bgColor rgb="FFECEFF1"/>
      </patternFill>
    </fill>
    <fill>
      <patternFill patternType="solid">
        <fgColor rgb="FF5E35B1"/>
        <bgColor rgb="FF993366"/>
      </patternFill>
    </fill>
    <fill>
      <patternFill patternType="solid">
        <fgColor rgb="FF2E7D32"/>
        <bgColor rgb="FF008000"/>
      </patternFill>
    </fill>
    <fill>
      <patternFill patternType="solid">
        <fgColor rgb="FFFF8F00"/>
        <bgColor rgb="FFF9A825"/>
      </patternFill>
    </fill>
    <fill>
      <patternFill patternType="solid">
        <fgColor rgb="FF546E7A"/>
        <bgColor rgb="FF808080"/>
      </patternFill>
    </fill>
    <fill>
      <patternFill patternType="solid">
        <fgColor rgb="FFD0D7E2"/>
        <bgColor rgb="FFD6F0F2"/>
      </patternFill>
    </fill>
    <fill>
      <patternFill patternType="solid">
        <fgColor rgb="FFFFF8DC"/>
        <bgColor rgb="FFF4F6F9"/>
      </patternFill>
    </fill>
    <fill>
      <patternFill patternType="solid">
        <fgColor rgb="FFFFFF00"/>
        <bgColor rgb="FFFFFF00"/>
      </patternFill>
    </fill>
    <fill>
      <patternFill patternType="solid">
        <fgColor rgb="FFECEFF1"/>
        <bgColor rgb="FFE8F5E9"/>
      </patternFill>
    </fill>
    <fill>
      <patternFill patternType="solid">
        <fgColor rgb="FFC62828"/>
        <bgColor rgb="FF993366"/>
      </patternFill>
    </fill>
    <fill>
      <patternFill patternType="solid">
        <fgColor rgb="FFFFEBEE"/>
        <bgColor rgb="FFEDE7F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3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6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1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6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1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1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31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3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3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32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3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33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1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34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3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6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3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1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1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1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9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0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1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2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3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4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5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6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3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8" fillId="1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49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0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1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7" fillId="1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1" fillId="1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2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32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3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32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5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5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0" fillId="1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1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3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3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86"/>
      <rgbColor rgb="FFB0C4DE"/>
      <rgbColor rgb="FF808080"/>
      <rgbColor rgb="FF9999FF"/>
      <rgbColor rgb="FF993366"/>
      <rgbColor rgb="FFFFF8DC"/>
      <rgbColor rgb="FFD6F0F2"/>
      <rgbColor rgb="FF660066"/>
      <rgbColor rgb="FFFF8080"/>
      <rgbColor rgb="FF0D47A1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B2EBF2"/>
      <rgbColor rgb="FFFFEBEE"/>
      <rgbColor rgb="FFECEFF1"/>
      <rgbColor rgb="FFF4F6F9"/>
      <rgbColor rgb="FFCC99FF"/>
      <rgbColor rgb="FFEDE7F6"/>
      <rgbColor rgb="FF3366FF"/>
      <rgbColor rgb="FF33CCCC"/>
      <rgbColor rgb="FF99CC00"/>
      <rgbColor rgb="FFF9A825"/>
      <rgbColor rgb="FFFF8F00"/>
      <rgbColor rgb="FFFF6600"/>
      <rgbColor rgb="FF546E7A"/>
      <rgbColor rgb="FF969696"/>
      <rgbColor rgb="FF1B2A4A"/>
      <rgbColor rgb="FF2E7D32"/>
      <rgbColor rgb="FF003300"/>
      <rgbColor rgb="FF222222"/>
      <rgbColor rgb="FFC62828"/>
      <rgbColor rgb="FF993366"/>
      <rgbColor rgb="FF5E35B1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50"/>
    <col collapsed="false" customWidth="true" hidden="false" outlineLevel="0" max="4" min="4" style="0" width="16"/>
    <col collapsed="false" customWidth="true" hidden="false" outlineLevel="0" max="5" min="5" style="0" width="4"/>
  </cols>
  <sheetData>
    <row r="1" customFormat="false" ht="7.5" hidden="false" customHeight="true" outlineLevel="0" collapsed="false">
      <c r="A1" s="1"/>
      <c r="B1" s="1"/>
      <c r="C1" s="1"/>
      <c r="D1" s="1"/>
      <c r="E1" s="1"/>
    </row>
    <row r="2" customFormat="false" ht="49.5" hidden="false" customHeight="true" outlineLevel="0" collapsed="false">
      <c r="A2" s="2" t="s">
        <v>0</v>
      </c>
      <c r="B2" s="2"/>
      <c r="C2" s="2"/>
      <c r="D2" s="2"/>
      <c r="E2" s="2"/>
    </row>
    <row r="3" customFormat="false" ht="30" hidden="false" customHeight="true" outlineLevel="0" collapsed="false">
      <c r="A3" s="3" t="s">
        <v>1</v>
      </c>
      <c r="B3" s="3"/>
      <c r="C3" s="3"/>
      <c r="D3" s="3"/>
      <c r="E3" s="3"/>
    </row>
    <row r="4" customFormat="false" ht="7.5" hidden="false" customHeight="true" outlineLevel="0" collapsed="false">
      <c r="A4" s="1"/>
      <c r="B4" s="1"/>
      <c r="C4" s="1"/>
      <c r="D4" s="1"/>
      <c r="E4" s="1"/>
    </row>
    <row r="5" customFormat="false" ht="13.5" hidden="false" customHeight="tru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24" hidden="false" customHeight="true" outlineLevel="0" collapsed="false">
      <c r="A6" s="5" t="s">
        <v>2</v>
      </c>
      <c r="B6" s="5"/>
      <c r="C6" s="5"/>
      <c r="D6" s="5"/>
      <c r="E6" s="5"/>
      <c r="F6" s="5"/>
      <c r="G6" s="5"/>
      <c r="H6" s="5"/>
    </row>
    <row r="7" customFormat="false" ht="27.75" hidden="false" customHeight="true" outlineLevel="0" collapsed="false">
      <c r="A7" s="6"/>
      <c r="B7" s="7" t="s">
        <v>3</v>
      </c>
      <c r="C7" s="8" t="s">
        <v>4</v>
      </c>
      <c r="D7" s="6"/>
      <c r="E7" s="6"/>
    </row>
    <row r="8" customFormat="false" ht="37.5" hidden="false" customHeight="true" outlineLevel="0" collapsed="false">
      <c r="A8" s="6"/>
      <c r="B8" s="9" t="s">
        <v>5</v>
      </c>
      <c r="C8" s="9"/>
      <c r="D8" s="9"/>
      <c r="E8" s="6"/>
    </row>
    <row r="9" customFormat="false" ht="6" hidden="false" customHeight="true" outlineLevel="0" collapsed="false">
      <c r="A9" s="4"/>
      <c r="B9" s="4"/>
      <c r="C9" s="4"/>
      <c r="D9" s="4"/>
      <c r="E9" s="4"/>
      <c r="F9" s="4"/>
      <c r="G9" s="4"/>
      <c r="H9" s="4"/>
    </row>
    <row r="10" customFormat="false" ht="27.75" hidden="false" customHeight="true" outlineLevel="0" collapsed="false">
      <c r="A10" s="10"/>
      <c r="B10" s="11" t="s">
        <v>6</v>
      </c>
      <c r="C10" s="12" t="s">
        <v>7</v>
      </c>
      <c r="D10" s="10"/>
      <c r="E10" s="10"/>
    </row>
    <row r="11" customFormat="false" ht="37.5" hidden="false" customHeight="true" outlineLevel="0" collapsed="false">
      <c r="A11" s="10"/>
      <c r="B11" s="13" t="s">
        <v>8</v>
      </c>
      <c r="C11" s="13"/>
      <c r="D11" s="13"/>
      <c r="E11" s="10"/>
    </row>
    <row r="12" customFormat="false" ht="6" hidden="false" customHeight="true" outlineLevel="0" collapsed="false">
      <c r="A12" s="4"/>
      <c r="B12" s="4"/>
      <c r="C12" s="4"/>
      <c r="D12" s="4"/>
      <c r="E12" s="4"/>
      <c r="F12" s="4"/>
      <c r="G12" s="4"/>
      <c r="H12" s="4"/>
    </row>
    <row r="13" customFormat="false" ht="27.75" hidden="false" customHeight="true" outlineLevel="0" collapsed="false">
      <c r="A13" s="14"/>
      <c r="B13" s="15" t="s">
        <v>9</v>
      </c>
      <c r="C13" s="16" t="s">
        <v>7</v>
      </c>
      <c r="D13" s="14"/>
      <c r="E13" s="14"/>
    </row>
    <row r="14" customFormat="false" ht="37.5" hidden="false" customHeight="true" outlineLevel="0" collapsed="false">
      <c r="A14" s="14"/>
      <c r="B14" s="17" t="s">
        <v>10</v>
      </c>
      <c r="C14" s="17"/>
      <c r="D14" s="17"/>
      <c r="E14" s="14"/>
    </row>
    <row r="15" customFormat="false" ht="6" hidden="false" customHeight="true" outlineLevel="0" collapsed="false">
      <c r="A15" s="4"/>
      <c r="B15" s="4"/>
      <c r="C15" s="4"/>
      <c r="D15" s="4"/>
      <c r="E15" s="4"/>
      <c r="F15" s="4"/>
      <c r="G15" s="4"/>
      <c r="H15" s="4"/>
    </row>
    <row r="16" customFormat="false" ht="9.75" hidden="false" customHeight="true" outlineLevel="0" collapsed="false">
      <c r="A16" s="4"/>
      <c r="B16" s="4"/>
      <c r="C16" s="4"/>
      <c r="D16" s="4"/>
      <c r="E16" s="4"/>
      <c r="F16" s="4"/>
      <c r="G16" s="4"/>
      <c r="H16" s="4"/>
    </row>
    <row r="17" customFormat="false" ht="24" hidden="false" customHeight="true" outlineLevel="0" collapsed="false">
      <c r="A17" s="18" t="s">
        <v>11</v>
      </c>
      <c r="B17" s="18"/>
      <c r="C17" s="18"/>
      <c r="D17" s="18"/>
      <c r="E17" s="18"/>
      <c r="F17" s="18"/>
      <c r="G17" s="18"/>
      <c r="H17" s="18"/>
    </row>
    <row r="18" customFormat="false" ht="27.75" hidden="false" customHeight="true" outlineLevel="0" collapsed="false">
      <c r="A18" s="4"/>
      <c r="B18" s="19" t="s">
        <v>12</v>
      </c>
      <c r="C18" s="20" t="s">
        <v>13</v>
      </c>
      <c r="D18" s="4"/>
      <c r="E18" s="4"/>
    </row>
    <row r="19" customFormat="false" ht="27.75" hidden="false" customHeight="true" outlineLevel="0" collapsed="false">
      <c r="A19" s="21"/>
      <c r="B19" s="22" t="s">
        <v>14</v>
      </c>
      <c r="C19" s="23" t="s">
        <v>15</v>
      </c>
      <c r="D19" s="21"/>
      <c r="E19" s="21"/>
    </row>
    <row r="20" customFormat="false" ht="27.75" hidden="false" customHeight="true" outlineLevel="0" collapsed="false">
      <c r="A20" s="4"/>
      <c r="B20" s="24" t="s">
        <v>16</v>
      </c>
      <c r="C20" s="20" t="s">
        <v>17</v>
      </c>
      <c r="D20" s="4"/>
      <c r="E20" s="4"/>
    </row>
    <row r="21" customFormat="false" ht="27.75" hidden="false" customHeight="true" outlineLevel="0" collapsed="false">
      <c r="A21" s="21"/>
      <c r="B21" s="25" t="s">
        <v>18</v>
      </c>
      <c r="C21" s="23" t="s">
        <v>19</v>
      </c>
      <c r="D21" s="21"/>
      <c r="E21" s="21"/>
    </row>
    <row r="22" customFormat="false" ht="27.75" hidden="false" customHeight="true" outlineLevel="0" collapsed="false">
      <c r="A22" s="4"/>
      <c r="B22" s="26" t="s">
        <v>20</v>
      </c>
      <c r="C22" s="20" t="s">
        <v>21</v>
      </c>
      <c r="D22" s="4"/>
      <c r="E22" s="4"/>
    </row>
    <row r="23" customFormat="false" ht="13.5" hidden="false" customHeight="true" outlineLevel="0" collapsed="false">
      <c r="A23" s="4"/>
      <c r="B23" s="4"/>
      <c r="C23" s="4"/>
      <c r="D23" s="4"/>
      <c r="E23" s="4"/>
      <c r="F23" s="4"/>
      <c r="G23" s="4"/>
      <c r="H23" s="4"/>
    </row>
    <row r="24" customFormat="false" ht="24" hidden="false" customHeight="true" outlineLevel="0" collapsed="false">
      <c r="A24" s="27" t="s">
        <v>22</v>
      </c>
      <c r="B24" s="27"/>
      <c r="C24" s="27"/>
      <c r="D24" s="27"/>
      <c r="E24" s="27"/>
      <c r="F24" s="27"/>
      <c r="G24" s="27"/>
      <c r="H24" s="27"/>
    </row>
    <row r="25" customFormat="false" ht="25.5" hidden="false" customHeight="true" outlineLevel="0" collapsed="false">
      <c r="A25" s="21"/>
      <c r="B25" s="28" t="s">
        <v>23</v>
      </c>
      <c r="C25" s="29" t="s">
        <v>24</v>
      </c>
      <c r="D25" s="21"/>
      <c r="E25" s="21"/>
    </row>
    <row r="26" customFormat="false" ht="25.5" hidden="false" customHeight="true" outlineLevel="0" collapsed="false">
      <c r="A26" s="21"/>
      <c r="B26" s="28" t="s">
        <v>25</v>
      </c>
      <c r="C26" s="29" t="s">
        <v>26</v>
      </c>
      <c r="D26" s="21"/>
      <c r="E26" s="21"/>
    </row>
    <row r="27" customFormat="false" ht="25.5" hidden="false" customHeight="true" outlineLevel="0" collapsed="false">
      <c r="A27" s="21"/>
      <c r="B27" s="30" t="s">
        <v>27</v>
      </c>
      <c r="C27" s="29" t="s">
        <v>28</v>
      </c>
      <c r="D27" s="21"/>
      <c r="E27" s="21"/>
    </row>
    <row r="28" customFormat="false" ht="25.5" hidden="false" customHeight="true" outlineLevel="0" collapsed="false">
      <c r="A28" s="21"/>
      <c r="B28" s="31" t="s">
        <v>29</v>
      </c>
      <c r="C28" s="29" t="s">
        <v>30</v>
      </c>
      <c r="D28" s="21"/>
      <c r="E28" s="21"/>
    </row>
    <row r="29" customFormat="false" ht="13.5" hidden="false" customHeight="true" outlineLevel="0" collapsed="false">
      <c r="A29" s="4"/>
      <c r="B29" s="4"/>
      <c r="C29" s="4"/>
      <c r="D29" s="4"/>
      <c r="E29" s="4"/>
      <c r="F29" s="4"/>
      <c r="G29" s="4"/>
      <c r="H29" s="4"/>
    </row>
    <row r="30" customFormat="false" ht="24" hidden="false" customHeight="true" outlineLevel="0" collapsed="false">
      <c r="A30" s="5" t="s">
        <v>31</v>
      </c>
      <c r="B30" s="5"/>
      <c r="C30" s="5"/>
      <c r="D30" s="5"/>
      <c r="E30" s="5"/>
      <c r="F30" s="5"/>
      <c r="G30" s="5"/>
      <c r="H30" s="5"/>
    </row>
    <row r="31" customFormat="false" ht="24" hidden="false" customHeight="true" outlineLevel="0" collapsed="false">
      <c r="A31" s="4"/>
      <c r="B31" s="32" t="s">
        <v>32</v>
      </c>
      <c r="C31" s="4"/>
      <c r="D31" s="4"/>
      <c r="E31" s="4"/>
    </row>
    <row r="32" customFormat="false" ht="25.5" hidden="false" customHeight="true" outlineLevel="0" collapsed="false">
      <c r="A32" s="4"/>
      <c r="B32" s="33" t="s">
        <v>33</v>
      </c>
      <c r="C32" s="33"/>
      <c r="D32" s="33"/>
      <c r="E32" s="4"/>
    </row>
    <row r="33" customFormat="false" ht="24" hidden="false" customHeight="true" outlineLevel="0" collapsed="false">
      <c r="A33" s="10"/>
      <c r="B33" s="34" t="s">
        <v>34</v>
      </c>
      <c r="C33" s="10"/>
      <c r="D33" s="10"/>
      <c r="E33" s="10"/>
    </row>
    <row r="34" customFormat="false" ht="25.5" hidden="false" customHeight="true" outlineLevel="0" collapsed="false">
      <c r="A34" s="10"/>
      <c r="B34" s="35" t="s">
        <v>35</v>
      </c>
      <c r="C34" s="35"/>
      <c r="D34" s="35"/>
      <c r="E34" s="10"/>
    </row>
    <row r="35" customFormat="false" ht="24" hidden="false" customHeight="true" outlineLevel="0" collapsed="false">
      <c r="A35" s="4"/>
      <c r="B35" s="32" t="s">
        <v>36</v>
      </c>
      <c r="C35" s="4"/>
      <c r="D35" s="4"/>
      <c r="E35" s="4"/>
    </row>
    <row r="36" customFormat="false" ht="25.5" hidden="false" customHeight="true" outlineLevel="0" collapsed="false">
      <c r="A36" s="4"/>
      <c r="B36" s="33" t="s">
        <v>37</v>
      </c>
      <c r="C36" s="33"/>
      <c r="D36" s="33"/>
      <c r="E36" s="4"/>
    </row>
    <row r="37" customFormat="false" ht="24" hidden="false" customHeight="true" outlineLevel="0" collapsed="false">
      <c r="A37" s="10"/>
      <c r="B37" s="34" t="s">
        <v>38</v>
      </c>
      <c r="C37" s="10"/>
      <c r="D37" s="10"/>
      <c r="E37" s="10"/>
    </row>
    <row r="38" customFormat="false" ht="25.5" hidden="false" customHeight="true" outlineLevel="0" collapsed="false">
      <c r="A38" s="10"/>
      <c r="B38" s="35" t="s">
        <v>39</v>
      </c>
      <c r="C38" s="35"/>
      <c r="D38" s="35"/>
      <c r="E38" s="10"/>
    </row>
    <row r="39" customFormat="false" ht="24" hidden="false" customHeight="true" outlineLevel="0" collapsed="false">
      <c r="A39" s="4"/>
      <c r="B39" s="32" t="s">
        <v>40</v>
      </c>
      <c r="C39" s="4"/>
      <c r="D39" s="4"/>
      <c r="E39" s="4"/>
    </row>
    <row r="40" customFormat="false" ht="25.5" hidden="false" customHeight="true" outlineLevel="0" collapsed="false">
      <c r="A40" s="4"/>
      <c r="B40" s="33" t="s">
        <v>41</v>
      </c>
      <c r="C40" s="33"/>
      <c r="D40" s="33"/>
      <c r="E40" s="4"/>
    </row>
    <row r="41" customFormat="false" ht="24" hidden="false" customHeight="true" outlineLevel="0" collapsed="false">
      <c r="A41" s="10"/>
      <c r="B41" s="34" t="s">
        <v>42</v>
      </c>
      <c r="C41" s="10"/>
      <c r="D41" s="10"/>
      <c r="E41" s="10"/>
    </row>
    <row r="42" customFormat="false" ht="25.5" hidden="false" customHeight="true" outlineLevel="0" collapsed="false">
      <c r="A42" s="10"/>
      <c r="B42" s="35" t="s">
        <v>43</v>
      </c>
      <c r="C42" s="35"/>
      <c r="D42" s="35"/>
      <c r="E42" s="10"/>
    </row>
    <row r="43" customFormat="false" ht="24" hidden="false" customHeight="true" outlineLevel="0" collapsed="false">
      <c r="A43" s="4"/>
      <c r="B43" s="32" t="s">
        <v>44</v>
      </c>
      <c r="C43" s="4"/>
      <c r="D43" s="4"/>
      <c r="E43" s="4"/>
    </row>
    <row r="44" customFormat="false" ht="25.5" hidden="false" customHeight="true" outlineLevel="0" collapsed="false">
      <c r="A44" s="4"/>
      <c r="B44" s="33" t="s">
        <v>45</v>
      </c>
      <c r="C44" s="33"/>
      <c r="D44" s="33"/>
      <c r="E44" s="4"/>
    </row>
    <row r="45" customFormat="false" ht="9.75" hidden="false" customHeight="true" outlineLevel="0" collapsed="false">
      <c r="A45" s="4"/>
      <c r="B45" s="4"/>
      <c r="C45" s="4"/>
      <c r="D45" s="4"/>
      <c r="E45" s="4"/>
      <c r="F45" s="4"/>
      <c r="G45" s="4"/>
      <c r="H45" s="4"/>
    </row>
    <row r="46" customFormat="false" ht="25.5" hidden="false" customHeight="true" outlineLevel="0" collapsed="false">
      <c r="A46" s="36" t="s">
        <v>46</v>
      </c>
      <c r="B46" s="36"/>
      <c r="C46" s="36"/>
      <c r="D46" s="36"/>
      <c r="E46" s="36"/>
    </row>
    <row r="47" customFormat="false" ht="7.5" hidden="false" customHeight="true" outlineLevel="0" collapsed="false">
      <c r="A47" s="1"/>
      <c r="B47" s="1"/>
      <c r="C47" s="1"/>
      <c r="D47" s="1"/>
      <c r="E47" s="1"/>
    </row>
  </sheetData>
  <mergeCells count="17">
    <mergeCell ref="A2:E2"/>
    <mergeCell ref="A3:E3"/>
    <mergeCell ref="A6:H6"/>
    <mergeCell ref="B8:D8"/>
    <mergeCell ref="B11:D11"/>
    <mergeCell ref="B14:D14"/>
    <mergeCell ref="A17:H17"/>
    <mergeCell ref="A24:H24"/>
    <mergeCell ref="A30:H30"/>
    <mergeCell ref="B32:D32"/>
    <mergeCell ref="B34:D34"/>
    <mergeCell ref="B36:D36"/>
    <mergeCell ref="B38:D38"/>
    <mergeCell ref="B40:D40"/>
    <mergeCell ref="B42:D42"/>
    <mergeCell ref="B44:D44"/>
    <mergeCell ref="A46:E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35B1"/>
    <pageSetUpPr fitToPage="fals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5" min="3" style="0" width="14"/>
    <col collapsed="false" customWidth="true" hidden="false" outlineLevel="0" max="6" min="6" style="0" width="12"/>
    <col collapsed="false" customWidth="true" hidden="false" outlineLevel="0" max="7" min="7" style="0" width="3"/>
  </cols>
  <sheetData>
    <row r="1" customFormat="false" ht="6" hidden="false" customHeight="true" outlineLevel="0" collapsed="false">
      <c r="A1" s="1"/>
      <c r="B1" s="1"/>
      <c r="C1" s="1"/>
      <c r="D1" s="1"/>
      <c r="E1" s="1"/>
      <c r="F1" s="1"/>
      <c r="G1" s="1"/>
    </row>
    <row r="2" customFormat="false" ht="42" hidden="false" customHeight="true" outlineLevel="0" collapsed="false">
      <c r="A2" s="37" t="s">
        <v>47</v>
      </c>
      <c r="B2" s="37"/>
      <c r="C2" s="37"/>
      <c r="D2" s="37"/>
      <c r="E2" s="37"/>
      <c r="F2" s="37"/>
      <c r="G2" s="37"/>
      <c r="H2" s="37"/>
    </row>
    <row r="3" customFormat="false" ht="25.5" hidden="false" customHeight="true" outlineLevel="0" collapsed="false">
      <c r="A3" s="38" t="s">
        <v>48</v>
      </c>
      <c r="B3" s="38"/>
      <c r="C3" s="38"/>
      <c r="D3" s="38"/>
      <c r="E3" s="38"/>
      <c r="F3" s="38"/>
      <c r="G3" s="38"/>
      <c r="H3" s="38"/>
    </row>
    <row r="4" customFormat="false" ht="6" hidden="false" customHeight="true" outlineLevel="0" collapsed="false">
      <c r="A4" s="1"/>
      <c r="B4" s="1"/>
      <c r="C4" s="1"/>
      <c r="D4" s="1"/>
      <c r="E4" s="1"/>
      <c r="F4" s="1"/>
      <c r="G4" s="1"/>
    </row>
    <row r="5" customFormat="false" ht="9.75" hidden="false" customHeight="tru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21.75" hidden="false" customHeight="true" outlineLevel="0" collapsed="false">
      <c r="A6" s="6"/>
      <c r="B6" s="39" t="s">
        <v>49</v>
      </c>
      <c r="C6" s="39"/>
      <c r="D6" s="39"/>
      <c r="E6" s="39"/>
      <c r="F6" s="39"/>
      <c r="G6" s="6"/>
    </row>
    <row r="7" customFormat="false" ht="21.75" hidden="false" customHeight="true" outlineLevel="0" collapsed="false">
      <c r="A7" s="6"/>
      <c r="B7" s="40" t="s">
        <v>50</v>
      </c>
      <c r="C7" s="40"/>
      <c r="D7" s="40"/>
      <c r="E7" s="40"/>
      <c r="F7" s="40"/>
      <c r="G7" s="6"/>
    </row>
    <row r="8" customFormat="false" ht="9.75" hidden="false" customHeight="true" outlineLevel="0" collapsed="false">
      <c r="A8" s="4"/>
      <c r="B8" s="4"/>
      <c r="C8" s="4"/>
      <c r="D8" s="4"/>
      <c r="E8" s="4"/>
      <c r="F8" s="4"/>
      <c r="G8" s="4"/>
      <c r="H8" s="4"/>
    </row>
    <row r="9" customFormat="false" ht="27.75" hidden="false" customHeight="true" outlineLevel="0" collapsed="false">
      <c r="A9" s="41"/>
      <c r="B9" s="42" t="s">
        <v>51</v>
      </c>
      <c r="C9" s="43" t="s">
        <v>52</v>
      </c>
      <c r="D9" s="43" t="s">
        <v>53</v>
      </c>
      <c r="E9" s="43" t="s">
        <v>54</v>
      </c>
      <c r="F9" s="43" t="s">
        <v>55</v>
      </c>
      <c r="G9" s="41"/>
    </row>
    <row r="10" customFormat="false" ht="27.75" hidden="false" customHeight="true" outlineLevel="0" collapsed="false">
      <c r="A10" s="4"/>
      <c r="B10" s="44" t="s">
        <v>56</v>
      </c>
      <c r="C10" s="45" t="n">
        <v>5</v>
      </c>
      <c r="D10" s="45" t="n">
        <v>2</v>
      </c>
      <c r="E10" s="45" t="n">
        <v>1</v>
      </c>
      <c r="F10" s="46"/>
      <c r="G10" s="4"/>
    </row>
    <row r="11" customFormat="false" ht="27.75" hidden="false" customHeight="true" outlineLevel="0" collapsed="false">
      <c r="A11" s="21"/>
      <c r="B11" s="47" t="s">
        <v>57</v>
      </c>
      <c r="C11" s="48" t="n">
        <v>1</v>
      </c>
      <c r="D11" s="48" t="n">
        <v>5</v>
      </c>
      <c r="E11" s="48" t="n">
        <v>2</v>
      </c>
      <c r="F11" s="46"/>
      <c r="G11" s="21"/>
    </row>
    <row r="12" customFormat="false" ht="27.75" hidden="false" customHeight="true" outlineLevel="0" collapsed="false">
      <c r="A12" s="4"/>
      <c r="B12" s="44" t="s">
        <v>58</v>
      </c>
      <c r="C12" s="45" t="n">
        <v>1</v>
      </c>
      <c r="D12" s="45" t="n">
        <v>2</v>
      </c>
      <c r="E12" s="45" t="n">
        <v>5</v>
      </c>
      <c r="F12" s="46"/>
      <c r="G12" s="4"/>
    </row>
    <row r="13" customFormat="false" ht="27.75" hidden="false" customHeight="true" outlineLevel="0" collapsed="false">
      <c r="A13" s="21"/>
      <c r="B13" s="47" t="s">
        <v>59</v>
      </c>
      <c r="C13" s="48" t="n">
        <v>5</v>
      </c>
      <c r="D13" s="48" t="n">
        <v>2</v>
      </c>
      <c r="E13" s="48" t="n">
        <v>1</v>
      </c>
      <c r="F13" s="46"/>
      <c r="G13" s="21"/>
    </row>
    <row r="14" customFormat="false" ht="27.75" hidden="false" customHeight="true" outlineLevel="0" collapsed="false">
      <c r="A14" s="4"/>
      <c r="B14" s="44" t="s">
        <v>60</v>
      </c>
      <c r="C14" s="45" t="n">
        <v>1</v>
      </c>
      <c r="D14" s="45" t="n">
        <v>3</v>
      </c>
      <c r="E14" s="45" t="n">
        <v>5</v>
      </c>
      <c r="F14" s="46"/>
      <c r="G14" s="4"/>
    </row>
    <row r="15" customFormat="false" ht="27.75" hidden="false" customHeight="true" outlineLevel="0" collapsed="false">
      <c r="A15" s="21"/>
      <c r="B15" s="47" t="s">
        <v>61</v>
      </c>
      <c r="C15" s="48" t="n">
        <v>5</v>
      </c>
      <c r="D15" s="48" t="n">
        <v>2</v>
      </c>
      <c r="E15" s="48" t="n">
        <v>1</v>
      </c>
      <c r="F15" s="46"/>
      <c r="G15" s="21"/>
    </row>
    <row r="16" customFormat="false" ht="27.75" hidden="false" customHeight="true" outlineLevel="0" collapsed="false">
      <c r="A16" s="4"/>
      <c r="B16" s="44" t="s">
        <v>62</v>
      </c>
      <c r="C16" s="45" t="n">
        <v>1</v>
      </c>
      <c r="D16" s="45" t="n">
        <v>4</v>
      </c>
      <c r="E16" s="45" t="n">
        <v>5</v>
      </c>
      <c r="F16" s="46"/>
      <c r="G16" s="4"/>
    </row>
    <row r="17" customFormat="false" ht="27.75" hidden="false" customHeight="true" outlineLevel="0" collapsed="false">
      <c r="A17" s="21"/>
      <c r="B17" s="47" t="s">
        <v>63</v>
      </c>
      <c r="C17" s="48" t="n">
        <v>1</v>
      </c>
      <c r="D17" s="48" t="n">
        <v>2</v>
      </c>
      <c r="E17" s="48" t="n">
        <v>5</v>
      </c>
      <c r="F17" s="46"/>
      <c r="G17" s="21"/>
    </row>
    <row r="18" customFormat="false" ht="27.75" hidden="false" customHeight="true" outlineLevel="0" collapsed="false">
      <c r="A18" s="4"/>
      <c r="B18" s="44" t="s">
        <v>64</v>
      </c>
      <c r="C18" s="45" t="n">
        <v>1</v>
      </c>
      <c r="D18" s="45" t="n">
        <v>5</v>
      </c>
      <c r="E18" s="45" t="n">
        <v>2</v>
      </c>
      <c r="F18" s="46"/>
      <c r="G18" s="4"/>
    </row>
    <row r="19" customFormat="false" ht="27.75" hidden="false" customHeight="true" outlineLevel="0" collapsed="false">
      <c r="A19" s="21"/>
      <c r="B19" s="47" t="s">
        <v>65</v>
      </c>
      <c r="C19" s="48" t="n">
        <v>1</v>
      </c>
      <c r="D19" s="48" t="n">
        <v>2</v>
      </c>
      <c r="E19" s="48" t="n">
        <v>5</v>
      </c>
      <c r="F19" s="46"/>
      <c r="G19" s="21"/>
    </row>
    <row r="20" customFormat="false" ht="27.75" hidden="false" customHeight="true" outlineLevel="0" collapsed="false">
      <c r="A20" s="4"/>
      <c r="B20" s="44" t="s">
        <v>66</v>
      </c>
      <c r="C20" s="45" t="n">
        <v>5</v>
      </c>
      <c r="D20" s="45" t="n">
        <v>3</v>
      </c>
      <c r="E20" s="45" t="n">
        <v>1</v>
      </c>
      <c r="F20" s="46"/>
      <c r="G20" s="4"/>
    </row>
    <row r="21" customFormat="false" ht="27.75" hidden="false" customHeight="true" outlineLevel="0" collapsed="false">
      <c r="A21" s="21"/>
      <c r="B21" s="47" t="s">
        <v>67</v>
      </c>
      <c r="C21" s="48" t="n">
        <v>1</v>
      </c>
      <c r="D21" s="48" t="n">
        <v>3</v>
      </c>
      <c r="E21" s="48" t="n">
        <v>5</v>
      </c>
      <c r="F21" s="46"/>
      <c r="G21" s="21"/>
    </row>
    <row r="22" customFormat="false" ht="27.75" hidden="false" customHeight="true" outlineLevel="0" collapsed="false">
      <c r="A22" s="4"/>
      <c r="B22" s="44" t="s">
        <v>68</v>
      </c>
      <c r="C22" s="45" t="n">
        <v>5</v>
      </c>
      <c r="D22" s="45" t="n">
        <v>3</v>
      </c>
      <c r="E22" s="45" t="n">
        <v>1</v>
      </c>
      <c r="F22" s="46"/>
      <c r="G22" s="4"/>
    </row>
    <row r="23" customFormat="false" ht="27.75" hidden="false" customHeight="true" outlineLevel="0" collapsed="false">
      <c r="A23" s="21"/>
      <c r="B23" s="47" t="s">
        <v>69</v>
      </c>
      <c r="C23" s="48" t="n">
        <v>1</v>
      </c>
      <c r="D23" s="48" t="n">
        <v>2</v>
      </c>
      <c r="E23" s="48" t="n">
        <v>5</v>
      </c>
      <c r="F23" s="46"/>
      <c r="G23" s="21"/>
    </row>
    <row r="24" customFormat="false" ht="27.75" hidden="false" customHeight="true" outlineLevel="0" collapsed="false">
      <c r="A24" s="4"/>
      <c r="B24" s="44" t="s">
        <v>70</v>
      </c>
      <c r="C24" s="45" t="n">
        <v>1</v>
      </c>
      <c r="D24" s="45" t="n">
        <v>5</v>
      </c>
      <c r="E24" s="45" t="n">
        <v>2</v>
      </c>
      <c r="F24" s="46"/>
      <c r="G24" s="4"/>
    </row>
    <row r="25" customFormat="false" ht="12" hidden="false" customHeight="true" outlineLevel="0" collapsed="false">
      <c r="A25" s="4"/>
      <c r="B25" s="4"/>
      <c r="C25" s="4"/>
      <c r="D25" s="4"/>
      <c r="E25" s="4"/>
      <c r="F25" s="4"/>
      <c r="G25" s="4"/>
      <c r="H25" s="4"/>
    </row>
    <row r="26" customFormat="false" ht="24" hidden="false" customHeight="true" outlineLevel="0" collapsed="false">
      <c r="A26" s="49" t="s">
        <v>71</v>
      </c>
      <c r="B26" s="49"/>
      <c r="C26" s="49"/>
      <c r="D26" s="49"/>
      <c r="E26" s="49"/>
      <c r="F26" s="49"/>
      <c r="G26" s="49"/>
      <c r="H26" s="49"/>
    </row>
    <row r="27" customFormat="false" ht="6" hidden="false" customHeight="true" outlineLevel="0" collapsed="false">
      <c r="A27" s="6"/>
      <c r="B27" s="6"/>
      <c r="C27" s="6"/>
      <c r="D27" s="6"/>
      <c r="E27" s="6"/>
      <c r="F27" s="6"/>
      <c r="G27" s="6"/>
    </row>
    <row r="28" customFormat="false" ht="31.5" hidden="false" customHeight="true" outlineLevel="0" collapsed="false">
      <c r="A28" s="14"/>
      <c r="B28" s="50" t="s">
        <v>72</v>
      </c>
      <c r="C28" s="14"/>
      <c r="D28" s="51" t="n">
        <f aca="false">IFERROR((F10*C10+F11*C11+F12*C12+F13*C13+F14*C14+F15*C15+F16*C16+F17*C17+F18*C18+F19*C19+F20*C20+F21*C21+F22*C22+F23*C23+F24*C24)/175,0)</f>
        <v>0</v>
      </c>
      <c r="E28" s="52" t="s">
        <v>73</v>
      </c>
      <c r="F28" s="52"/>
      <c r="G28" s="14"/>
    </row>
    <row r="29" customFormat="false" ht="31.5" hidden="false" customHeight="true" outlineLevel="0" collapsed="false">
      <c r="A29" s="53"/>
      <c r="B29" s="54" t="s">
        <v>74</v>
      </c>
      <c r="C29" s="53"/>
      <c r="D29" s="55" t="n">
        <f aca="false">IFERROR((F10*D10+F11*D11+F12*D12+F13*D13+F14*D14+F15*D15+F16*D16+F17*D17+F18*D18+F19*D19+F20*D20+F21*D21+F22*D22+F23*D23+F24*D24)/225,0)</f>
        <v>0</v>
      </c>
      <c r="E29" s="56" t="s">
        <v>73</v>
      </c>
      <c r="F29" s="56"/>
      <c r="G29" s="53"/>
    </row>
    <row r="30" customFormat="false" ht="31.5" hidden="false" customHeight="true" outlineLevel="0" collapsed="false">
      <c r="A30" s="10"/>
      <c r="B30" s="57" t="s">
        <v>75</v>
      </c>
      <c r="C30" s="10"/>
      <c r="D30" s="58" t="n">
        <f aca="false">IFERROR((F10*E10+F11*E11+F12*E12+F13*E13+F14*E14+F15*E15+F16*E16+F17*E17+F18*E18+F19*E19+F20*E20+F21*E21+F22*E22+F23*E23+F24*E24)/230,0)</f>
        <v>0</v>
      </c>
      <c r="E30" s="59" t="s">
        <v>73</v>
      </c>
      <c r="F30" s="59"/>
      <c r="G30" s="10"/>
    </row>
    <row r="31" customFormat="false" ht="7.5" hidden="false" customHeight="true" outlineLevel="0" collapsed="false">
      <c r="A31" s="4"/>
      <c r="B31" s="4"/>
      <c r="C31" s="4"/>
      <c r="D31" s="4"/>
      <c r="E31" s="4"/>
      <c r="F31" s="4"/>
      <c r="G31" s="4"/>
      <c r="H31" s="4"/>
    </row>
    <row r="32" customFormat="false" ht="31.5" hidden="false" customHeight="true" outlineLevel="0" collapsed="false">
      <c r="A32" s="6"/>
      <c r="B32" s="60" t="str">
        <f aca="false">IF(AND(D28&gt;=D29,D28&gt;=D30),"👉 Go to sheet: 🟢 Structured Budget",IF(AND(D29&gt;=D28,D29&gt;=D30),"👉 Go to sheet: 🟡 Flexible Budget","👉 Go to sheet: 🔵 Minimalist Budget"))</f>
        <v>👉 Go to sheet: 🟢 Structured Budget</v>
      </c>
      <c r="C32" s="60"/>
      <c r="D32" s="60"/>
      <c r="E32" s="60"/>
      <c r="F32" s="60"/>
      <c r="G32" s="6"/>
    </row>
    <row r="33" customFormat="false" ht="6" hidden="false" customHeight="true" outlineLevel="0" collapsed="false">
      <c r="A33" s="4"/>
      <c r="B33" s="4"/>
      <c r="C33" s="4"/>
      <c r="D33" s="4"/>
      <c r="E33" s="4"/>
      <c r="F33" s="4"/>
      <c r="G33" s="4"/>
      <c r="H33" s="4"/>
    </row>
    <row r="34" customFormat="false" ht="21.75" hidden="false" customHeight="true" outlineLevel="0" collapsed="false">
      <c r="A34" s="21"/>
      <c r="B34" s="61" t="s">
        <v>76</v>
      </c>
      <c r="C34" s="61"/>
      <c r="D34" s="61"/>
      <c r="E34" s="61"/>
      <c r="F34" s="61"/>
      <c r="G34" s="21"/>
    </row>
    <row r="35" customFormat="false" ht="30" hidden="false" customHeight="true" outlineLevel="0" collapsed="false">
      <c r="A35" s="14"/>
      <c r="B35" s="62" t="s">
        <v>77</v>
      </c>
      <c r="C35" s="63" t="s">
        <v>78</v>
      </c>
      <c r="D35" s="63"/>
      <c r="E35" s="63"/>
      <c r="F35" s="63"/>
      <c r="G35" s="14"/>
    </row>
    <row r="36" customFormat="false" ht="30" hidden="false" customHeight="true" outlineLevel="0" collapsed="false">
      <c r="A36" s="53"/>
      <c r="B36" s="64" t="s">
        <v>79</v>
      </c>
      <c r="C36" s="65" t="s">
        <v>80</v>
      </c>
      <c r="D36" s="65"/>
      <c r="E36" s="65"/>
      <c r="F36" s="65"/>
      <c r="G36" s="53"/>
    </row>
    <row r="37" customFormat="false" ht="30" hidden="false" customHeight="true" outlineLevel="0" collapsed="false">
      <c r="A37" s="10"/>
      <c r="B37" s="34" t="s">
        <v>81</v>
      </c>
      <c r="C37" s="35" t="s">
        <v>82</v>
      </c>
      <c r="D37" s="35"/>
      <c r="E37" s="35"/>
      <c r="F37" s="35"/>
      <c r="G37" s="10"/>
    </row>
    <row r="38" customFormat="false" ht="9.75" hidden="false" customHeight="true" outlineLevel="0" collapsed="false">
      <c r="A38" s="4"/>
      <c r="B38" s="4"/>
      <c r="C38" s="4"/>
      <c r="D38" s="4"/>
      <c r="E38" s="4"/>
      <c r="F38" s="4"/>
      <c r="G38" s="4"/>
      <c r="H38" s="4"/>
    </row>
    <row r="39" customFormat="false" ht="19.5" hidden="false" customHeight="true" outlineLevel="0" collapsed="false">
      <c r="A39" s="66" t="s">
        <v>83</v>
      </c>
      <c r="B39" s="66"/>
      <c r="C39" s="66"/>
      <c r="D39" s="66"/>
      <c r="E39" s="66"/>
      <c r="F39" s="66"/>
      <c r="G39" s="66"/>
    </row>
    <row r="40" customFormat="false" ht="6" hidden="false" customHeight="true" outlineLevel="0" collapsed="false">
      <c r="A40" s="1"/>
      <c r="B40" s="1"/>
      <c r="C40" s="1"/>
      <c r="D40" s="1"/>
      <c r="E40" s="1"/>
      <c r="F40" s="1"/>
      <c r="G40" s="1"/>
    </row>
  </sheetData>
  <mergeCells count="14">
    <mergeCell ref="A2:H2"/>
    <mergeCell ref="A3:H3"/>
    <mergeCell ref="B6:F6"/>
    <mergeCell ref="B7:F7"/>
    <mergeCell ref="A26:H26"/>
    <mergeCell ref="E28:F28"/>
    <mergeCell ref="E29:F29"/>
    <mergeCell ref="E30:F30"/>
    <mergeCell ref="B32:F32"/>
    <mergeCell ref="B34:F34"/>
    <mergeCell ref="C35:F35"/>
    <mergeCell ref="C36:F36"/>
    <mergeCell ref="C37:F37"/>
    <mergeCell ref="A39:G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H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6" min="3" style="0" width="16"/>
    <col collapsed="false" customWidth="true" hidden="false" outlineLevel="0" max="7" min="7" style="0" width="3"/>
  </cols>
  <sheetData>
    <row r="1" customFormat="false" ht="6" hidden="false" customHeight="true" outlineLevel="0" collapsed="false">
      <c r="A1" s="67"/>
      <c r="B1" s="67"/>
      <c r="C1" s="67"/>
      <c r="D1" s="67"/>
      <c r="E1" s="67"/>
      <c r="F1" s="67"/>
      <c r="G1" s="67"/>
    </row>
    <row r="2" customFormat="false" ht="42" hidden="false" customHeight="true" outlineLevel="0" collapsed="false">
      <c r="A2" s="68" t="s">
        <v>84</v>
      </c>
      <c r="B2" s="68"/>
      <c r="C2" s="68"/>
      <c r="D2" s="68"/>
      <c r="E2" s="68"/>
      <c r="F2" s="68"/>
      <c r="G2" s="68"/>
      <c r="H2" s="68"/>
    </row>
    <row r="3" customFormat="false" ht="25.5" hidden="false" customHeight="true" outlineLevel="0" collapsed="false">
      <c r="A3" s="69" t="s">
        <v>85</v>
      </c>
      <c r="B3" s="69"/>
      <c r="C3" s="69"/>
      <c r="D3" s="69"/>
      <c r="E3" s="69"/>
      <c r="F3" s="69"/>
      <c r="G3" s="69"/>
      <c r="H3" s="69"/>
    </row>
    <row r="4" customFormat="false" ht="6" hidden="false" customHeight="true" outlineLevel="0" collapsed="false">
      <c r="A4" s="67"/>
      <c r="B4" s="67"/>
      <c r="C4" s="67"/>
      <c r="D4" s="67"/>
      <c r="E4" s="67"/>
      <c r="F4" s="67"/>
      <c r="G4" s="67"/>
    </row>
    <row r="5" customFormat="false" ht="9.75" hidden="false" customHeight="tru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24" hidden="false" customHeight="true" outlineLevel="0" collapsed="false">
      <c r="A6" s="70" t="s">
        <v>86</v>
      </c>
      <c r="B6" s="70"/>
      <c r="C6" s="70"/>
      <c r="D6" s="70"/>
      <c r="E6" s="70"/>
      <c r="F6" s="70"/>
      <c r="G6" s="70"/>
      <c r="H6" s="70"/>
    </row>
    <row r="7" customFormat="false" ht="21.75" hidden="false" customHeight="true" outlineLevel="0" collapsed="false">
      <c r="A7" s="14"/>
      <c r="B7" s="71" t="s">
        <v>87</v>
      </c>
      <c r="C7" s="71"/>
      <c r="D7" s="71"/>
      <c r="E7" s="71"/>
      <c r="F7" s="71"/>
      <c r="G7" s="14"/>
    </row>
    <row r="8" customFormat="false" ht="21.75" hidden="false" customHeight="true" outlineLevel="0" collapsed="false">
      <c r="A8" s="14"/>
      <c r="B8" s="71" t="s">
        <v>88</v>
      </c>
      <c r="C8" s="71"/>
      <c r="D8" s="71"/>
      <c r="E8" s="71"/>
      <c r="F8" s="71"/>
      <c r="G8" s="14"/>
    </row>
    <row r="9" customFormat="false" ht="21.75" hidden="false" customHeight="true" outlineLevel="0" collapsed="false">
      <c r="A9" s="14"/>
      <c r="B9" s="71" t="s">
        <v>89</v>
      </c>
      <c r="C9" s="71"/>
      <c r="D9" s="71"/>
      <c r="E9" s="71"/>
      <c r="F9" s="71"/>
      <c r="G9" s="14"/>
    </row>
    <row r="10" customFormat="false" ht="9.75" hidden="false" customHeight="true" outlineLevel="0" collapsed="false">
      <c r="A10" s="4"/>
      <c r="B10" s="4"/>
      <c r="C10" s="4"/>
      <c r="D10" s="4"/>
      <c r="E10" s="4"/>
      <c r="F10" s="4"/>
      <c r="G10" s="4"/>
      <c r="H10" s="4"/>
    </row>
    <row r="11" customFormat="false" ht="24" hidden="false" customHeight="true" outlineLevel="0" collapsed="false">
      <c r="A11" s="18" t="s">
        <v>90</v>
      </c>
      <c r="B11" s="18"/>
      <c r="C11" s="18"/>
      <c r="D11" s="18"/>
      <c r="E11" s="18"/>
      <c r="F11" s="18"/>
      <c r="G11" s="18"/>
      <c r="H11" s="18"/>
    </row>
    <row r="12" customFormat="false" ht="36" hidden="false" customHeight="true" outlineLevel="0" collapsed="false">
      <c r="A12" s="21"/>
      <c r="B12" s="72" t="s">
        <v>91</v>
      </c>
      <c r="C12" s="73" t="n">
        <v>5000</v>
      </c>
      <c r="D12" s="74" t="s">
        <v>92</v>
      </c>
      <c r="E12" s="74"/>
      <c r="F12" s="74"/>
      <c r="G12" s="21"/>
    </row>
    <row r="13" customFormat="false" ht="7.5" hidden="false" customHeight="tru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24" hidden="false" customHeight="true" outlineLevel="0" collapsed="false">
      <c r="A14" s="70" t="s">
        <v>93</v>
      </c>
      <c r="B14" s="70"/>
      <c r="C14" s="70"/>
      <c r="D14" s="70"/>
      <c r="E14" s="70"/>
      <c r="F14" s="70"/>
      <c r="G14" s="70"/>
      <c r="H14" s="70"/>
    </row>
    <row r="15" customFormat="false" ht="25.5" hidden="false" customHeight="true" outlineLevel="0" collapsed="false">
      <c r="A15" s="41"/>
      <c r="B15" s="43" t="s">
        <v>94</v>
      </c>
      <c r="C15" s="43" t="s">
        <v>95</v>
      </c>
      <c r="D15" s="43" t="s">
        <v>96</v>
      </c>
      <c r="E15" s="43" t="s">
        <v>97</v>
      </c>
      <c r="F15" s="43" t="s">
        <v>98</v>
      </c>
      <c r="G15" s="41"/>
    </row>
    <row r="16" customFormat="false" ht="21.75" hidden="false" customHeight="true" outlineLevel="0" collapsed="false">
      <c r="A16" s="1"/>
      <c r="B16" s="75" t="s">
        <v>99</v>
      </c>
      <c r="C16" s="75"/>
      <c r="D16" s="75"/>
      <c r="E16" s="75"/>
      <c r="F16" s="75"/>
      <c r="G16" s="1"/>
    </row>
    <row r="17" customFormat="false" ht="24" hidden="false" customHeight="true" outlineLevel="0" collapsed="false">
      <c r="A17" s="4"/>
      <c r="B17" s="76" t="s">
        <v>100</v>
      </c>
      <c r="C17" s="77" t="n">
        <v>1500</v>
      </c>
      <c r="D17" s="78" t="n">
        <v>0</v>
      </c>
      <c r="E17" s="79" t="n">
        <f aca="false">C17-D17</f>
        <v>1500</v>
      </c>
      <c r="F17" s="80" t="n">
        <f aca="false">IFERROR(D17/C17,0)</f>
        <v>0</v>
      </c>
      <c r="G17" s="4"/>
    </row>
    <row r="18" customFormat="false" ht="24" hidden="false" customHeight="true" outlineLevel="0" collapsed="false">
      <c r="A18" s="21"/>
      <c r="B18" s="81" t="s">
        <v>101</v>
      </c>
      <c r="C18" s="82" t="n">
        <v>120</v>
      </c>
      <c r="D18" s="78" t="n">
        <v>0</v>
      </c>
      <c r="E18" s="83" t="n">
        <f aca="false">C18-D18</f>
        <v>120</v>
      </c>
      <c r="F18" s="84" t="n">
        <f aca="false">IFERROR(D18/C18,0)</f>
        <v>0</v>
      </c>
      <c r="G18" s="21"/>
    </row>
    <row r="19" customFormat="false" ht="24" hidden="false" customHeight="true" outlineLevel="0" collapsed="false">
      <c r="A19" s="4"/>
      <c r="B19" s="76" t="s">
        <v>102</v>
      </c>
      <c r="C19" s="77" t="n">
        <v>90</v>
      </c>
      <c r="D19" s="78" t="n">
        <v>0</v>
      </c>
      <c r="E19" s="79" t="n">
        <f aca="false">C19-D19</f>
        <v>90</v>
      </c>
      <c r="F19" s="80" t="n">
        <f aca="false">IFERROR(D19/C19,0)</f>
        <v>0</v>
      </c>
      <c r="G19" s="4"/>
    </row>
    <row r="20" customFormat="false" ht="24" hidden="false" customHeight="true" outlineLevel="0" collapsed="false">
      <c r="A20" s="21"/>
      <c r="B20" s="81" t="s">
        <v>103</v>
      </c>
      <c r="C20" s="82" t="n">
        <v>40</v>
      </c>
      <c r="D20" s="78" t="n">
        <v>0</v>
      </c>
      <c r="E20" s="83" t="n">
        <f aca="false">C20-D20</f>
        <v>40</v>
      </c>
      <c r="F20" s="84" t="n">
        <f aca="false">IFERROR(D20/C20,0)</f>
        <v>0</v>
      </c>
      <c r="G20" s="21"/>
    </row>
    <row r="21" customFormat="false" ht="21.75" hidden="false" customHeight="true" outlineLevel="0" collapsed="false">
      <c r="A21" s="85"/>
      <c r="B21" s="86" t="s">
        <v>104</v>
      </c>
      <c r="C21" s="87" t="n">
        <f aca="false">SUM(C17:C20)</f>
        <v>1750</v>
      </c>
      <c r="D21" s="87" t="n">
        <f aca="false">SUM(D17:D20)</f>
        <v>0</v>
      </c>
      <c r="E21" s="87" t="n">
        <f aca="false">SUM(E17:E20)</f>
        <v>1750</v>
      </c>
      <c r="F21" s="85"/>
      <c r="G21" s="85"/>
    </row>
    <row r="22" customFormat="false" ht="6" hidden="false" customHeight="true" outlineLevel="0" collapsed="false">
      <c r="A22" s="4"/>
      <c r="B22" s="4"/>
      <c r="C22" s="4"/>
      <c r="D22" s="4"/>
      <c r="E22" s="4"/>
      <c r="F22" s="4"/>
      <c r="G22" s="4"/>
      <c r="H22" s="4"/>
    </row>
    <row r="23" customFormat="false" ht="21.75" hidden="false" customHeight="true" outlineLevel="0" collapsed="false">
      <c r="A23" s="1"/>
      <c r="B23" s="75" t="s">
        <v>105</v>
      </c>
      <c r="C23" s="75"/>
      <c r="D23" s="75"/>
      <c r="E23" s="75"/>
      <c r="F23" s="75"/>
      <c r="G23" s="1"/>
    </row>
    <row r="24" customFormat="false" ht="24" hidden="false" customHeight="true" outlineLevel="0" collapsed="false">
      <c r="A24" s="4"/>
      <c r="B24" s="76" t="s">
        <v>106</v>
      </c>
      <c r="C24" s="77" t="n">
        <v>400</v>
      </c>
      <c r="D24" s="78" t="n">
        <v>0</v>
      </c>
      <c r="E24" s="79" t="n">
        <f aca="false">C24-D24</f>
        <v>400</v>
      </c>
      <c r="F24" s="80" t="n">
        <f aca="false">IFERROR(D24/C24,0)</f>
        <v>0</v>
      </c>
      <c r="G24" s="4"/>
    </row>
    <row r="25" customFormat="false" ht="24" hidden="false" customHeight="true" outlineLevel="0" collapsed="false">
      <c r="A25" s="21"/>
      <c r="B25" s="81" t="s">
        <v>107</v>
      </c>
      <c r="C25" s="82" t="n">
        <v>150</v>
      </c>
      <c r="D25" s="78" t="n">
        <v>0</v>
      </c>
      <c r="E25" s="83" t="n">
        <f aca="false">C25-D25</f>
        <v>150</v>
      </c>
      <c r="F25" s="84" t="n">
        <f aca="false">IFERROR(D25/C25,0)</f>
        <v>0</v>
      </c>
      <c r="G25" s="21"/>
    </row>
    <row r="26" customFormat="false" ht="24" hidden="false" customHeight="true" outlineLevel="0" collapsed="false">
      <c r="A26" s="4"/>
      <c r="B26" s="76" t="s">
        <v>108</v>
      </c>
      <c r="C26" s="77" t="n">
        <v>50</v>
      </c>
      <c r="D26" s="78" t="n">
        <v>0</v>
      </c>
      <c r="E26" s="79" t="n">
        <f aca="false">C26-D26</f>
        <v>50</v>
      </c>
      <c r="F26" s="80" t="n">
        <f aca="false">IFERROR(D26/C26,0)</f>
        <v>0</v>
      </c>
      <c r="G26" s="4"/>
    </row>
    <row r="27" customFormat="false" ht="21.75" hidden="false" customHeight="true" outlineLevel="0" collapsed="false">
      <c r="A27" s="85"/>
      <c r="B27" s="86" t="s">
        <v>104</v>
      </c>
      <c r="C27" s="87" t="n">
        <f aca="false">SUM(C24:C26)</f>
        <v>600</v>
      </c>
      <c r="D27" s="87" t="n">
        <f aca="false">SUM(D24:D26)</f>
        <v>0</v>
      </c>
      <c r="E27" s="87" t="n">
        <f aca="false">SUM(E24:E26)</f>
        <v>600</v>
      </c>
      <c r="F27" s="85"/>
      <c r="G27" s="85"/>
    </row>
    <row r="28" customFormat="false" ht="6" hidden="false" customHeight="true" outlineLevel="0" collapsed="false">
      <c r="A28" s="4"/>
      <c r="B28" s="4"/>
      <c r="C28" s="4"/>
      <c r="D28" s="4"/>
      <c r="E28" s="4"/>
      <c r="F28" s="4"/>
      <c r="G28" s="4"/>
      <c r="H28" s="4"/>
    </row>
    <row r="29" customFormat="false" ht="21.75" hidden="false" customHeight="true" outlineLevel="0" collapsed="false">
      <c r="A29" s="1"/>
      <c r="B29" s="75" t="s">
        <v>109</v>
      </c>
      <c r="C29" s="75"/>
      <c r="D29" s="75"/>
      <c r="E29" s="75"/>
      <c r="F29" s="75"/>
      <c r="G29" s="1"/>
    </row>
    <row r="30" customFormat="false" ht="24" hidden="false" customHeight="true" outlineLevel="0" collapsed="false">
      <c r="A30" s="4"/>
      <c r="B30" s="76" t="s">
        <v>110</v>
      </c>
      <c r="C30" s="77" t="n">
        <v>100</v>
      </c>
      <c r="D30" s="78" t="n">
        <v>0</v>
      </c>
      <c r="E30" s="79" t="n">
        <f aca="false">C30-D30</f>
        <v>100</v>
      </c>
      <c r="F30" s="80" t="n">
        <f aca="false">IFERROR(D30/C30,0)</f>
        <v>0</v>
      </c>
      <c r="G30" s="4"/>
    </row>
    <row r="31" customFormat="false" ht="24" hidden="false" customHeight="true" outlineLevel="0" collapsed="false">
      <c r="A31" s="21"/>
      <c r="B31" s="81" t="s">
        <v>111</v>
      </c>
      <c r="C31" s="82" t="n">
        <v>120</v>
      </c>
      <c r="D31" s="78" t="n">
        <v>0</v>
      </c>
      <c r="E31" s="83" t="n">
        <f aca="false">C31-D31</f>
        <v>120</v>
      </c>
      <c r="F31" s="84" t="n">
        <f aca="false">IFERROR(D31/C31,0)</f>
        <v>0</v>
      </c>
      <c r="G31" s="21"/>
    </row>
    <row r="32" customFormat="false" ht="24" hidden="false" customHeight="true" outlineLevel="0" collapsed="false">
      <c r="A32" s="4"/>
      <c r="B32" s="76" t="s">
        <v>112</v>
      </c>
      <c r="C32" s="77" t="n">
        <v>350</v>
      </c>
      <c r="D32" s="78" t="n">
        <v>0</v>
      </c>
      <c r="E32" s="79" t="n">
        <f aca="false">C32-D32</f>
        <v>350</v>
      </c>
      <c r="F32" s="80" t="n">
        <f aca="false">IFERROR(D32/C32,0)</f>
        <v>0</v>
      </c>
      <c r="G32" s="4"/>
    </row>
    <row r="33" customFormat="false" ht="24" hidden="false" customHeight="true" outlineLevel="0" collapsed="false">
      <c r="A33" s="21"/>
      <c r="B33" s="81" t="s">
        <v>113</v>
      </c>
      <c r="C33" s="82" t="n">
        <v>30</v>
      </c>
      <c r="D33" s="78" t="n">
        <v>0</v>
      </c>
      <c r="E33" s="83" t="n">
        <f aca="false">C33-D33</f>
        <v>30</v>
      </c>
      <c r="F33" s="84" t="n">
        <f aca="false">IFERROR(D33/C33,0)</f>
        <v>0</v>
      </c>
      <c r="G33" s="21"/>
    </row>
    <row r="34" customFormat="false" ht="21.75" hidden="false" customHeight="true" outlineLevel="0" collapsed="false">
      <c r="A34" s="85"/>
      <c r="B34" s="86" t="s">
        <v>104</v>
      </c>
      <c r="C34" s="87" t="n">
        <f aca="false">SUM(C30:C33)</f>
        <v>600</v>
      </c>
      <c r="D34" s="87" t="n">
        <f aca="false">SUM(D30:D33)</f>
        <v>0</v>
      </c>
      <c r="E34" s="87" t="n">
        <f aca="false">SUM(E30:E33)</f>
        <v>600</v>
      </c>
      <c r="F34" s="85"/>
      <c r="G34" s="85"/>
    </row>
    <row r="35" customFormat="false" ht="6" hidden="false" customHeight="true" outlineLevel="0" collapsed="false">
      <c r="A35" s="4"/>
      <c r="B35" s="4"/>
      <c r="C35" s="4"/>
      <c r="D35" s="4"/>
      <c r="E35" s="4"/>
      <c r="F35" s="4"/>
      <c r="G35" s="4"/>
      <c r="H35" s="4"/>
    </row>
    <row r="36" customFormat="false" ht="21.75" hidden="false" customHeight="true" outlineLevel="0" collapsed="false">
      <c r="A36" s="1"/>
      <c r="B36" s="75" t="s">
        <v>114</v>
      </c>
      <c r="C36" s="75"/>
      <c r="D36" s="75"/>
      <c r="E36" s="75"/>
      <c r="F36" s="75"/>
      <c r="G36" s="1"/>
    </row>
    <row r="37" customFormat="false" ht="24" hidden="false" customHeight="true" outlineLevel="0" collapsed="false">
      <c r="A37" s="4"/>
      <c r="B37" s="76" t="s">
        <v>115</v>
      </c>
      <c r="C37" s="77" t="n">
        <v>200</v>
      </c>
      <c r="D37" s="78" t="n">
        <v>0</v>
      </c>
      <c r="E37" s="79" t="n">
        <f aca="false">C37-D37</f>
        <v>200</v>
      </c>
      <c r="F37" s="80" t="n">
        <f aca="false">IFERROR(D37/C37,0)</f>
        <v>0</v>
      </c>
      <c r="G37" s="4"/>
    </row>
    <row r="38" customFormat="false" ht="24" hidden="false" customHeight="true" outlineLevel="0" collapsed="false">
      <c r="A38" s="21"/>
      <c r="B38" s="81" t="s">
        <v>116</v>
      </c>
      <c r="C38" s="82" t="n">
        <v>50</v>
      </c>
      <c r="D38" s="78" t="n">
        <v>0</v>
      </c>
      <c r="E38" s="83" t="n">
        <f aca="false">C38-D38</f>
        <v>50</v>
      </c>
      <c r="F38" s="84" t="n">
        <f aca="false">IFERROR(D38/C38,0)</f>
        <v>0</v>
      </c>
      <c r="G38" s="21"/>
    </row>
    <row r="39" customFormat="false" ht="24" hidden="false" customHeight="true" outlineLevel="0" collapsed="false">
      <c r="A39" s="4"/>
      <c r="B39" s="76" t="s">
        <v>117</v>
      </c>
      <c r="C39" s="77" t="n">
        <v>40</v>
      </c>
      <c r="D39" s="78" t="n">
        <v>0</v>
      </c>
      <c r="E39" s="79" t="n">
        <f aca="false">C39-D39</f>
        <v>40</v>
      </c>
      <c r="F39" s="80" t="n">
        <f aca="false">IFERROR(D39/C39,0)</f>
        <v>0</v>
      </c>
      <c r="G39" s="4"/>
    </row>
    <row r="40" customFormat="false" ht="21.75" hidden="false" customHeight="true" outlineLevel="0" collapsed="false">
      <c r="A40" s="85"/>
      <c r="B40" s="86" t="s">
        <v>104</v>
      </c>
      <c r="C40" s="87" t="n">
        <f aca="false">SUM(C37:C39)</f>
        <v>290</v>
      </c>
      <c r="D40" s="87" t="n">
        <f aca="false">SUM(D37:D39)</f>
        <v>0</v>
      </c>
      <c r="E40" s="87" t="n">
        <f aca="false">SUM(E37:E39)</f>
        <v>290</v>
      </c>
      <c r="F40" s="85"/>
      <c r="G40" s="85"/>
    </row>
    <row r="41" customFormat="false" ht="6" hidden="false" customHeight="true" outlineLevel="0" collapsed="false">
      <c r="A41" s="4"/>
      <c r="B41" s="4"/>
      <c r="C41" s="4"/>
      <c r="D41" s="4"/>
      <c r="E41" s="4"/>
      <c r="F41" s="4"/>
      <c r="G41" s="4"/>
      <c r="H41" s="4"/>
    </row>
    <row r="42" customFormat="false" ht="21.75" hidden="false" customHeight="true" outlineLevel="0" collapsed="false">
      <c r="A42" s="1"/>
      <c r="B42" s="75" t="s">
        <v>118</v>
      </c>
      <c r="C42" s="75"/>
      <c r="D42" s="75"/>
      <c r="E42" s="75"/>
      <c r="F42" s="75"/>
      <c r="G42" s="1"/>
    </row>
    <row r="43" customFormat="false" ht="24" hidden="false" customHeight="true" outlineLevel="0" collapsed="false">
      <c r="A43" s="4"/>
      <c r="B43" s="76" t="s">
        <v>119</v>
      </c>
      <c r="C43" s="77" t="n">
        <v>300</v>
      </c>
      <c r="D43" s="78" t="n">
        <v>0</v>
      </c>
      <c r="E43" s="79" t="n">
        <f aca="false">C43-D43</f>
        <v>300</v>
      </c>
      <c r="F43" s="80" t="n">
        <f aca="false">IFERROR(D43/C43,0)</f>
        <v>0</v>
      </c>
      <c r="G43" s="4"/>
    </row>
    <row r="44" customFormat="false" ht="24" hidden="false" customHeight="true" outlineLevel="0" collapsed="false">
      <c r="A44" s="21"/>
      <c r="B44" s="81" t="s">
        <v>120</v>
      </c>
      <c r="C44" s="82" t="n">
        <v>200</v>
      </c>
      <c r="D44" s="78" t="n">
        <v>0</v>
      </c>
      <c r="E44" s="83" t="n">
        <f aca="false">C44-D44</f>
        <v>200</v>
      </c>
      <c r="F44" s="84" t="n">
        <f aca="false">IFERROR(D44/C44,0)</f>
        <v>0</v>
      </c>
      <c r="G44" s="21"/>
    </row>
    <row r="45" customFormat="false" ht="24" hidden="false" customHeight="true" outlineLevel="0" collapsed="false">
      <c r="A45" s="4"/>
      <c r="B45" s="76" t="s">
        <v>121</v>
      </c>
      <c r="C45" s="77" t="n">
        <v>150</v>
      </c>
      <c r="D45" s="78" t="n">
        <v>0</v>
      </c>
      <c r="E45" s="79" t="n">
        <f aca="false">C45-D45</f>
        <v>150</v>
      </c>
      <c r="F45" s="80" t="n">
        <f aca="false">IFERROR(D45/C45,0)</f>
        <v>0</v>
      </c>
      <c r="G45" s="4"/>
    </row>
    <row r="46" customFormat="false" ht="21.75" hidden="false" customHeight="true" outlineLevel="0" collapsed="false">
      <c r="A46" s="85"/>
      <c r="B46" s="86" t="s">
        <v>104</v>
      </c>
      <c r="C46" s="87" t="n">
        <f aca="false">SUM(C43:C45)</f>
        <v>650</v>
      </c>
      <c r="D46" s="87" t="n">
        <f aca="false">SUM(D43:D45)</f>
        <v>0</v>
      </c>
      <c r="E46" s="87" t="n">
        <f aca="false">SUM(E43:E45)</f>
        <v>650</v>
      </c>
      <c r="F46" s="85"/>
      <c r="G46" s="85"/>
    </row>
    <row r="47" customFormat="false" ht="6" hidden="false" customHeight="true" outlineLevel="0" collapsed="false">
      <c r="A47" s="4"/>
      <c r="B47" s="4"/>
      <c r="C47" s="4"/>
      <c r="D47" s="4"/>
      <c r="E47" s="4"/>
      <c r="F47" s="4"/>
      <c r="G47" s="4"/>
      <c r="H47" s="4"/>
    </row>
    <row r="48" customFormat="false" ht="21.75" hidden="false" customHeight="true" outlineLevel="0" collapsed="false">
      <c r="A48" s="1"/>
      <c r="B48" s="75" t="s">
        <v>122</v>
      </c>
      <c r="C48" s="75"/>
      <c r="D48" s="75"/>
      <c r="E48" s="75"/>
      <c r="F48" s="75"/>
      <c r="G48" s="1"/>
    </row>
    <row r="49" customFormat="false" ht="24" hidden="false" customHeight="true" outlineLevel="0" collapsed="false">
      <c r="A49" s="4"/>
      <c r="B49" s="76" t="s">
        <v>123</v>
      </c>
      <c r="C49" s="77" t="n">
        <v>100</v>
      </c>
      <c r="D49" s="78" t="n">
        <v>0</v>
      </c>
      <c r="E49" s="79" t="n">
        <f aca="false">C49-D49</f>
        <v>100</v>
      </c>
      <c r="F49" s="80" t="n">
        <f aca="false">IFERROR(D49/C49,0)</f>
        <v>0</v>
      </c>
      <c r="G49" s="4"/>
    </row>
    <row r="50" customFormat="false" ht="24" hidden="false" customHeight="true" outlineLevel="0" collapsed="false">
      <c r="A50" s="21"/>
      <c r="B50" s="81" t="s">
        <v>124</v>
      </c>
      <c r="C50" s="82" t="n">
        <v>100</v>
      </c>
      <c r="D50" s="78" t="n">
        <v>0</v>
      </c>
      <c r="E50" s="83" t="n">
        <f aca="false">C50-D50</f>
        <v>100</v>
      </c>
      <c r="F50" s="84" t="n">
        <f aca="false">IFERROR(D50/C50,0)</f>
        <v>0</v>
      </c>
      <c r="G50" s="21"/>
    </row>
    <row r="51" customFormat="false" ht="24" hidden="false" customHeight="true" outlineLevel="0" collapsed="false">
      <c r="A51" s="4"/>
      <c r="B51" s="76" t="s">
        <v>125</v>
      </c>
      <c r="C51" s="77" t="n">
        <v>50</v>
      </c>
      <c r="D51" s="78" t="n">
        <v>0</v>
      </c>
      <c r="E51" s="79" t="n">
        <f aca="false">C51-D51</f>
        <v>50</v>
      </c>
      <c r="F51" s="80" t="n">
        <f aca="false">IFERROR(D51/C51,0)</f>
        <v>0</v>
      </c>
      <c r="G51" s="4"/>
    </row>
    <row r="52" customFormat="false" ht="24" hidden="false" customHeight="true" outlineLevel="0" collapsed="false">
      <c r="A52" s="21"/>
      <c r="B52" s="81" t="s">
        <v>126</v>
      </c>
      <c r="C52" s="82" t="n">
        <v>40</v>
      </c>
      <c r="D52" s="78" t="n">
        <v>0</v>
      </c>
      <c r="E52" s="83" t="n">
        <f aca="false">C52-D52</f>
        <v>40</v>
      </c>
      <c r="F52" s="84" t="n">
        <f aca="false">IFERROR(D52/C52,0)</f>
        <v>0</v>
      </c>
      <c r="G52" s="21"/>
    </row>
    <row r="53" customFormat="false" ht="24" hidden="false" customHeight="true" outlineLevel="0" collapsed="false">
      <c r="A53" s="4"/>
      <c r="B53" s="76" t="s">
        <v>127</v>
      </c>
      <c r="C53" s="77" t="n">
        <v>80</v>
      </c>
      <c r="D53" s="78" t="n">
        <v>0</v>
      </c>
      <c r="E53" s="79" t="n">
        <f aca="false">C53-D53</f>
        <v>80</v>
      </c>
      <c r="F53" s="80" t="n">
        <f aca="false">IFERROR(D53/C53,0)</f>
        <v>0</v>
      </c>
      <c r="G53" s="4"/>
    </row>
    <row r="54" customFormat="false" ht="21.75" hidden="false" customHeight="true" outlineLevel="0" collapsed="false">
      <c r="A54" s="85"/>
      <c r="B54" s="86" t="s">
        <v>104</v>
      </c>
      <c r="C54" s="87" t="n">
        <f aca="false">SUM(C49:C53)</f>
        <v>370</v>
      </c>
      <c r="D54" s="87" t="n">
        <f aca="false">SUM(D49:D53)</f>
        <v>0</v>
      </c>
      <c r="E54" s="87" t="n">
        <f aca="false">SUM(E49:E53)</f>
        <v>370</v>
      </c>
      <c r="F54" s="85"/>
      <c r="G54" s="85"/>
    </row>
    <row r="55" customFormat="false" ht="6" hidden="false" customHeight="true" outlineLevel="0" collapsed="false">
      <c r="A55" s="4"/>
      <c r="B55" s="4"/>
      <c r="C55" s="4"/>
      <c r="D55" s="4"/>
      <c r="E55" s="4"/>
      <c r="F55" s="4"/>
      <c r="G55" s="4"/>
      <c r="H55" s="4"/>
    </row>
    <row r="56" customFormat="false" ht="21.75" hidden="false" customHeight="true" outlineLevel="0" collapsed="false">
      <c r="A56" s="1"/>
      <c r="B56" s="75" t="s">
        <v>128</v>
      </c>
      <c r="C56" s="75"/>
      <c r="D56" s="75"/>
      <c r="E56" s="75"/>
      <c r="F56" s="75"/>
      <c r="G56" s="1"/>
    </row>
    <row r="57" customFormat="false" ht="24" hidden="false" customHeight="true" outlineLevel="0" collapsed="false">
      <c r="A57" s="4"/>
      <c r="B57" s="76" t="s">
        <v>129</v>
      </c>
      <c r="C57" s="77" t="n">
        <v>200</v>
      </c>
      <c r="D57" s="78" t="n">
        <v>0</v>
      </c>
      <c r="E57" s="79" t="n">
        <f aca="false">C57-D57</f>
        <v>200</v>
      </c>
      <c r="F57" s="80" t="n">
        <f aca="false">IFERROR(D57/C57,0)</f>
        <v>0</v>
      </c>
      <c r="G57" s="4"/>
    </row>
    <row r="58" customFormat="false" ht="24" hidden="false" customHeight="true" outlineLevel="0" collapsed="false">
      <c r="A58" s="21"/>
      <c r="B58" s="81" t="s">
        <v>130</v>
      </c>
      <c r="C58" s="82" t="n">
        <v>150</v>
      </c>
      <c r="D58" s="78" t="n">
        <v>0</v>
      </c>
      <c r="E58" s="83" t="n">
        <f aca="false">C58-D58</f>
        <v>150</v>
      </c>
      <c r="F58" s="84" t="n">
        <f aca="false">IFERROR(D58/C58,0)</f>
        <v>0</v>
      </c>
      <c r="G58" s="21"/>
    </row>
    <row r="59" customFormat="false" ht="24" hidden="false" customHeight="true" outlineLevel="0" collapsed="false">
      <c r="A59" s="4"/>
      <c r="B59" s="76" t="s">
        <v>131</v>
      </c>
      <c r="C59" s="77" t="n">
        <v>50</v>
      </c>
      <c r="D59" s="78" t="n">
        <v>0</v>
      </c>
      <c r="E59" s="79" t="n">
        <f aca="false">C59-D59</f>
        <v>50</v>
      </c>
      <c r="F59" s="80" t="n">
        <f aca="false">IFERROR(D59/C59,0)</f>
        <v>0</v>
      </c>
      <c r="G59" s="4"/>
    </row>
    <row r="60" customFormat="false" ht="21.75" hidden="false" customHeight="true" outlineLevel="0" collapsed="false">
      <c r="A60" s="85"/>
      <c r="B60" s="86" t="s">
        <v>104</v>
      </c>
      <c r="C60" s="87" t="n">
        <f aca="false">SUM(C57:C59)</f>
        <v>400</v>
      </c>
      <c r="D60" s="87" t="n">
        <f aca="false">SUM(D57:D59)</f>
        <v>0</v>
      </c>
      <c r="E60" s="87" t="n">
        <f aca="false">SUM(E57:E59)</f>
        <v>400</v>
      </c>
      <c r="F60" s="85"/>
      <c r="G60" s="85"/>
    </row>
    <row r="61" customFormat="false" ht="6" hidden="false" customHeight="true" outlineLevel="0" collapsed="false">
      <c r="A61" s="4"/>
      <c r="B61" s="4"/>
      <c r="C61" s="4"/>
      <c r="D61" s="4"/>
      <c r="E61" s="4"/>
      <c r="F61" s="4"/>
      <c r="G61" s="4"/>
      <c r="H61" s="4"/>
    </row>
    <row r="62" customFormat="false" ht="3.75" hidden="false" customHeight="true" outlineLevel="0" collapsed="false">
      <c r="A62" s="4"/>
      <c r="B62" s="4"/>
      <c r="C62" s="4"/>
      <c r="D62" s="4"/>
      <c r="E62" s="4"/>
      <c r="F62" s="4"/>
      <c r="G62" s="4"/>
      <c r="H62" s="4"/>
    </row>
    <row r="63" customFormat="false" ht="30" hidden="false" customHeight="true" outlineLevel="0" collapsed="false">
      <c r="A63" s="1"/>
      <c r="B63" s="88" t="s">
        <v>132</v>
      </c>
      <c r="C63" s="89" t="n">
        <f aca="false">C21+C27+C34+C40+C46+C54+C60</f>
        <v>4660</v>
      </c>
      <c r="D63" s="89" t="n">
        <f aca="false">D21+D27+D34+D40+D46+D54+D60</f>
        <v>0</v>
      </c>
      <c r="E63" s="89" t="n">
        <f aca="false">E21+E27+E34+E40+E46+E54+E60</f>
        <v>4660</v>
      </c>
      <c r="F63" s="1"/>
      <c r="G63" s="1"/>
    </row>
    <row r="64" customFormat="false" ht="30" hidden="false" customHeight="true" outlineLevel="0" collapsed="false">
      <c r="A64" s="14"/>
      <c r="B64" s="90" t="s">
        <v>133</v>
      </c>
      <c r="C64" s="91" t="n">
        <f aca="false">C12-C63</f>
        <v>340</v>
      </c>
      <c r="D64" s="92" t="s">
        <v>134</v>
      </c>
      <c r="E64" s="92"/>
      <c r="F64" s="92"/>
      <c r="G64" s="14"/>
    </row>
    <row r="65" customFormat="false" ht="9.75" hidden="false" customHeight="true" outlineLevel="0" collapsed="false">
      <c r="A65" s="4"/>
      <c r="B65" s="4"/>
      <c r="C65" s="4"/>
      <c r="D65" s="4"/>
      <c r="E65" s="4"/>
      <c r="F65" s="4"/>
      <c r="G65" s="4"/>
      <c r="H65" s="4"/>
    </row>
    <row r="66" customFormat="false" ht="24" hidden="false" customHeight="true" outlineLevel="0" collapsed="false">
      <c r="A66" s="93" t="s">
        <v>135</v>
      </c>
      <c r="B66" s="93"/>
      <c r="C66" s="93"/>
      <c r="D66" s="93"/>
      <c r="E66" s="93"/>
      <c r="F66" s="93"/>
      <c r="G66" s="93"/>
      <c r="H66" s="93"/>
    </row>
    <row r="67" customFormat="false" ht="19.5" hidden="false" customHeight="true" outlineLevel="0" collapsed="false">
      <c r="A67" s="4"/>
      <c r="B67" s="94" t="s">
        <v>136</v>
      </c>
      <c r="C67" s="4"/>
      <c r="D67" s="4"/>
      <c r="E67" s="4"/>
      <c r="F67" s="4"/>
      <c r="G67" s="4"/>
    </row>
    <row r="68" customFormat="false" ht="30" hidden="false" customHeight="true" outlineLevel="0" collapsed="false">
      <c r="A68" s="4"/>
      <c r="B68" s="33" t="s">
        <v>137</v>
      </c>
      <c r="C68" s="33"/>
      <c r="D68" s="33"/>
      <c r="E68" s="33"/>
      <c r="F68" s="33"/>
      <c r="G68" s="4"/>
    </row>
    <row r="69" customFormat="false" ht="19.5" hidden="false" customHeight="true" outlineLevel="0" collapsed="false">
      <c r="A69" s="95"/>
      <c r="B69" s="96" t="s">
        <v>138</v>
      </c>
      <c r="C69" s="95"/>
      <c r="D69" s="95"/>
      <c r="E69" s="95"/>
      <c r="F69" s="95"/>
      <c r="G69" s="95"/>
    </row>
    <row r="70" customFormat="false" ht="30" hidden="false" customHeight="true" outlineLevel="0" collapsed="false">
      <c r="A70" s="95"/>
      <c r="B70" s="97" t="s">
        <v>139</v>
      </c>
      <c r="C70" s="97"/>
      <c r="D70" s="97"/>
      <c r="E70" s="97"/>
      <c r="F70" s="97"/>
      <c r="G70" s="95"/>
    </row>
    <row r="71" customFormat="false" ht="19.5" hidden="false" customHeight="true" outlineLevel="0" collapsed="false">
      <c r="A71" s="4"/>
      <c r="B71" s="94" t="s">
        <v>140</v>
      </c>
      <c r="C71" s="4"/>
      <c r="D71" s="4"/>
      <c r="E71" s="4"/>
      <c r="F71" s="4"/>
      <c r="G71" s="4"/>
    </row>
    <row r="72" customFormat="false" ht="30" hidden="false" customHeight="true" outlineLevel="0" collapsed="false">
      <c r="A72" s="4"/>
      <c r="B72" s="33" t="s">
        <v>141</v>
      </c>
      <c r="C72" s="33"/>
      <c r="D72" s="33"/>
      <c r="E72" s="33"/>
      <c r="F72" s="33"/>
      <c r="G72" s="4"/>
    </row>
    <row r="73" customFormat="false" ht="19.5" hidden="false" customHeight="true" outlineLevel="0" collapsed="false">
      <c r="A73" s="95"/>
      <c r="B73" s="96" t="s">
        <v>142</v>
      </c>
      <c r="C73" s="95"/>
      <c r="D73" s="95"/>
      <c r="E73" s="95"/>
      <c r="F73" s="95"/>
      <c r="G73" s="95"/>
    </row>
    <row r="74" customFormat="false" ht="30" hidden="false" customHeight="true" outlineLevel="0" collapsed="false">
      <c r="A74" s="95"/>
      <c r="B74" s="97" t="s">
        <v>143</v>
      </c>
      <c r="C74" s="97"/>
      <c r="D74" s="97"/>
      <c r="E74" s="97"/>
      <c r="F74" s="97"/>
      <c r="G74" s="95"/>
    </row>
    <row r="75" customFormat="false" ht="19.5" hidden="false" customHeight="true" outlineLevel="0" collapsed="false">
      <c r="A75" s="4"/>
      <c r="B75" s="94" t="s">
        <v>144</v>
      </c>
      <c r="C75" s="4"/>
      <c r="D75" s="4"/>
      <c r="E75" s="4"/>
      <c r="F75" s="4"/>
      <c r="G75" s="4"/>
    </row>
    <row r="76" customFormat="false" ht="30" hidden="false" customHeight="true" outlineLevel="0" collapsed="false">
      <c r="A76" s="4"/>
      <c r="B76" s="33" t="s">
        <v>145</v>
      </c>
      <c r="C76" s="33"/>
      <c r="D76" s="33"/>
      <c r="E76" s="33"/>
      <c r="F76" s="33"/>
      <c r="G76" s="4"/>
    </row>
    <row r="77" customFormat="false" ht="6" hidden="false" customHeight="true" outlineLevel="0" collapsed="false">
      <c r="A77" s="4"/>
      <c r="B77" s="4"/>
      <c r="C77" s="4"/>
      <c r="D77" s="4"/>
      <c r="E77" s="4"/>
      <c r="F77" s="4"/>
      <c r="G77" s="4"/>
      <c r="H77" s="4"/>
    </row>
    <row r="78" customFormat="false" ht="19.5" hidden="false" customHeight="true" outlineLevel="0" collapsed="false">
      <c r="A78" s="66" t="s">
        <v>146</v>
      </c>
      <c r="B78" s="66"/>
      <c r="C78" s="66"/>
      <c r="D78" s="66"/>
      <c r="E78" s="66"/>
      <c r="F78" s="66"/>
      <c r="G78" s="66"/>
    </row>
  </sheetData>
  <mergeCells count="24">
    <mergeCell ref="A2:H2"/>
    <mergeCell ref="A3:H3"/>
    <mergeCell ref="A6:H6"/>
    <mergeCell ref="B7:F7"/>
    <mergeCell ref="B8:F8"/>
    <mergeCell ref="B9:F9"/>
    <mergeCell ref="A11:H11"/>
    <mergeCell ref="D12:F12"/>
    <mergeCell ref="A14:H14"/>
    <mergeCell ref="B16:F16"/>
    <mergeCell ref="B23:F23"/>
    <mergeCell ref="B29:F29"/>
    <mergeCell ref="B36:F36"/>
    <mergeCell ref="B42:F42"/>
    <mergeCell ref="B48:F48"/>
    <mergeCell ref="B56:F56"/>
    <mergeCell ref="D64:F64"/>
    <mergeCell ref="A66:H66"/>
    <mergeCell ref="B68:F68"/>
    <mergeCell ref="B70:F70"/>
    <mergeCell ref="B72:F72"/>
    <mergeCell ref="B74:F74"/>
    <mergeCell ref="B76:F76"/>
    <mergeCell ref="A78:G7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8F00"/>
    <pageSetUpPr fitToPage="false"/>
  </sheetPr>
  <dimension ref="A1:H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5" min="3" style="0" width="16"/>
    <col collapsed="false" customWidth="true" hidden="false" outlineLevel="0" max="6" min="6" style="0" width="14"/>
    <col collapsed="false" customWidth="true" hidden="false" outlineLevel="0" max="7" min="7" style="0" width="3"/>
  </cols>
  <sheetData>
    <row r="1" customFormat="false" ht="6" hidden="false" customHeight="true" outlineLevel="0" collapsed="false">
      <c r="A1" s="98"/>
      <c r="B1" s="98"/>
      <c r="C1" s="98"/>
      <c r="D1" s="98"/>
      <c r="E1" s="98"/>
      <c r="F1" s="98"/>
      <c r="G1" s="98"/>
    </row>
    <row r="2" customFormat="false" ht="42" hidden="false" customHeight="true" outlineLevel="0" collapsed="false">
      <c r="A2" s="99" t="s">
        <v>147</v>
      </c>
      <c r="B2" s="99"/>
      <c r="C2" s="99"/>
      <c r="D2" s="99"/>
      <c r="E2" s="99"/>
      <c r="F2" s="99"/>
      <c r="G2" s="99"/>
      <c r="H2" s="99"/>
    </row>
    <row r="3" customFormat="false" ht="25.5" hidden="false" customHeight="true" outlineLevel="0" collapsed="false">
      <c r="A3" s="100" t="s">
        <v>148</v>
      </c>
      <c r="B3" s="100"/>
      <c r="C3" s="100"/>
      <c r="D3" s="100"/>
      <c r="E3" s="100"/>
      <c r="F3" s="100"/>
      <c r="G3" s="100"/>
      <c r="H3" s="100"/>
    </row>
    <row r="4" customFormat="false" ht="6" hidden="false" customHeight="true" outlineLevel="0" collapsed="false">
      <c r="A4" s="98"/>
      <c r="B4" s="98"/>
      <c r="C4" s="98"/>
      <c r="D4" s="98"/>
      <c r="E4" s="98"/>
      <c r="F4" s="98"/>
      <c r="G4" s="98"/>
    </row>
    <row r="5" customFormat="false" ht="9.75" hidden="false" customHeight="tru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24" hidden="false" customHeight="true" outlineLevel="0" collapsed="false">
      <c r="A6" s="101" t="s">
        <v>86</v>
      </c>
      <c r="B6" s="101"/>
      <c r="C6" s="101"/>
      <c r="D6" s="101"/>
      <c r="E6" s="101"/>
      <c r="F6" s="101"/>
      <c r="G6" s="101"/>
      <c r="H6" s="101"/>
    </row>
    <row r="7" customFormat="false" ht="21.75" hidden="false" customHeight="true" outlineLevel="0" collapsed="false">
      <c r="A7" s="53"/>
      <c r="B7" s="102" t="s">
        <v>149</v>
      </c>
      <c r="C7" s="102"/>
      <c r="D7" s="102"/>
      <c r="E7" s="102"/>
      <c r="F7" s="102"/>
      <c r="G7" s="53"/>
    </row>
    <row r="8" customFormat="false" ht="21.75" hidden="false" customHeight="true" outlineLevel="0" collapsed="false">
      <c r="A8" s="53"/>
      <c r="B8" s="102" t="s">
        <v>150</v>
      </c>
      <c r="C8" s="102"/>
      <c r="D8" s="102"/>
      <c r="E8" s="102"/>
      <c r="F8" s="102"/>
      <c r="G8" s="53"/>
    </row>
    <row r="9" customFormat="false" ht="21.75" hidden="false" customHeight="true" outlineLevel="0" collapsed="false">
      <c r="A9" s="53"/>
      <c r="B9" s="102" t="s">
        <v>151</v>
      </c>
      <c r="C9" s="102"/>
      <c r="D9" s="102"/>
      <c r="E9" s="102"/>
      <c r="F9" s="102"/>
      <c r="G9" s="53"/>
    </row>
    <row r="10" customFormat="false" ht="9.75" hidden="false" customHeight="true" outlineLevel="0" collapsed="false">
      <c r="A10" s="4"/>
      <c r="B10" s="4"/>
      <c r="C10" s="4"/>
      <c r="D10" s="4"/>
      <c r="E10" s="4"/>
      <c r="F10" s="4"/>
      <c r="G10" s="4"/>
      <c r="H10" s="4"/>
    </row>
    <row r="11" customFormat="false" ht="24" hidden="false" customHeight="true" outlineLevel="0" collapsed="false">
      <c r="A11" s="18" t="s">
        <v>152</v>
      </c>
      <c r="B11" s="18"/>
      <c r="C11" s="18"/>
      <c r="D11" s="18"/>
      <c r="E11" s="18"/>
      <c r="F11" s="18"/>
      <c r="G11" s="18"/>
      <c r="H11" s="18"/>
    </row>
    <row r="12" customFormat="false" ht="36" hidden="false" customHeight="true" outlineLevel="0" collapsed="false">
      <c r="A12" s="21"/>
      <c r="B12" s="72" t="s">
        <v>91</v>
      </c>
      <c r="C12" s="73" t="n">
        <v>5000</v>
      </c>
      <c r="D12" s="74" t="s">
        <v>153</v>
      </c>
      <c r="E12" s="74"/>
      <c r="F12" s="74"/>
      <c r="G12" s="21"/>
    </row>
    <row r="13" customFormat="false" ht="6" hidden="false" customHeight="tru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24" hidden="false" customHeight="true" outlineLevel="0" collapsed="false">
      <c r="A14" s="41"/>
      <c r="B14" s="43" t="s">
        <v>154</v>
      </c>
      <c r="C14" s="43" t="s">
        <v>155</v>
      </c>
      <c r="D14" s="43" t="s">
        <v>156</v>
      </c>
      <c r="E14" s="43" t="s">
        <v>157</v>
      </c>
      <c r="F14" s="43" t="s">
        <v>158</v>
      </c>
      <c r="G14" s="41"/>
    </row>
    <row r="15" customFormat="false" ht="21.75" hidden="false" customHeight="true" outlineLevel="0" collapsed="false">
      <c r="A15" s="14"/>
      <c r="B15" s="103" t="s">
        <v>159</v>
      </c>
      <c r="C15" s="103"/>
      <c r="D15" s="103"/>
      <c r="E15" s="103"/>
      <c r="F15" s="103"/>
      <c r="G15" s="14"/>
    </row>
    <row r="16" customFormat="false" ht="33.75" hidden="false" customHeight="true" outlineLevel="0" collapsed="false">
      <c r="A16" s="14"/>
      <c r="B16" s="14"/>
      <c r="C16" s="104" t="n">
        <v>0.5</v>
      </c>
      <c r="D16" s="105" t="n">
        <f aca="false">C16*C12</f>
        <v>2500</v>
      </c>
      <c r="E16" s="106" t="n">
        <v>0</v>
      </c>
      <c r="F16" s="105" t="n">
        <f aca="false">D16-E16</f>
        <v>2500</v>
      </c>
      <c r="G16" s="14"/>
    </row>
    <row r="17" customFormat="false" ht="3.75" hidden="false" customHeight="true" outlineLevel="0" collapsed="false">
      <c r="A17" s="4"/>
      <c r="B17" s="4"/>
      <c r="C17" s="4"/>
      <c r="D17" s="4"/>
      <c r="E17" s="4"/>
      <c r="F17" s="4"/>
      <c r="G17" s="4"/>
      <c r="H17" s="4"/>
    </row>
    <row r="18" customFormat="false" ht="21.75" hidden="false" customHeight="true" outlineLevel="0" collapsed="false">
      <c r="A18" s="53"/>
      <c r="B18" s="107" t="s">
        <v>160</v>
      </c>
      <c r="C18" s="107"/>
      <c r="D18" s="107"/>
      <c r="E18" s="107"/>
      <c r="F18" s="107"/>
      <c r="G18" s="53"/>
    </row>
    <row r="19" customFormat="false" ht="33.75" hidden="false" customHeight="true" outlineLevel="0" collapsed="false">
      <c r="A19" s="53"/>
      <c r="B19" s="53"/>
      <c r="C19" s="104" t="n">
        <v>0.3</v>
      </c>
      <c r="D19" s="108" t="n">
        <f aca="false">C19*C12</f>
        <v>1500</v>
      </c>
      <c r="E19" s="106" t="n">
        <v>0</v>
      </c>
      <c r="F19" s="108" t="n">
        <f aca="false">D19-E19</f>
        <v>1500</v>
      </c>
      <c r="G19" s="53"/>
    </row>
    <row r="20" customFormat="false" ht="3.75" hidden="false" customHeight="true" outlineLevel="0" collapsed="false">
      <c r="A20" s="4"/>
      <c r="B20" s="4"/>
      <c r="C20" s="4"/>
      <c r="D20" s="4"/>
      <c r="E20" s="4"/>
      <c r="F20" s="4"/>
      <c r="G20" s="4"/>
      <c r="H20" s="4"/>
    </row>
    <row r="21" customFormat="false" ht="21.75" hidden="false" customHeight="true" outlineLevel="0" collapsed="false">
      <c r="A21" s="10"/>
      <c r="B21" s="109" t="s">
        <v>161</v>
      </c>
      <c r="C21" s="109"/>
      <c r="D21" s="109"/>
      <c r="E21" s="109"/>
      <c r="F21" s="109"/>
      <c r="G21" s="10"/>
    </row>
    <row r="22" customFormat="false" ht="33.75" hidden="false" customHeight="true" outlineLevel="0" collapsed="false">
      <c r="A22" s="10"/>
      <c r="B22" s="10"/>
      <c r="C22" s="104" t="n">
        <v>0.2</v>
      </c>
      <c r="D22" s="110" t="n">
        <f aca="false">C22*C12</f>
        <v>1000</v>
      </c>
      <c r="E22" s="106" t="n">
        <v>0</v>
      </c>
      <c r="F22" s="110" t="n">
        <f aca="false">D22-E22</f>
        <v>1000</v>
      </c>
      <c r="G22" s="10"/>
    </row>
    <row r="23" customFormat="false" ht="3.75" hidden="false" customHeight="true" outlineLevel="0" collapsed="false">
      <c r="A23" s="4"/>
      <c r="B23" s="4"/>
      <c r="C23" s="4"/>
      <c r="D23" s="4"/>
      <c r="E23" s="4"/>
      <c r="F23" s="4"/>
      <c r="G23" s="4"/>
      <c r="H23" s="4"/>
    </row>
    <row r="24" customFormat="false" ht="30" hidden="false" customHeight="true" outlineLevel="0" collapsed="false">
      <c r="A24" s="1"/>
      <c r="B24" s="88" t="s">
        <v>162</v>
      </c>
      <c r="C24" s="111" t="n">
        <f aca="false">C16+C19+C22</f>
        <v>1</v>
      </c>
      <c r="D24" s="38" t="s">
        <v>163</v>
      </c>
      <c r="E24" s="38"/>
      <c r="F24" s="38"/>
      <c r="G24" s="1"/>
    </row>
    <row r="25" customFormat="false" ht="30" hidden="false" customHeight="true" outlineLevel="0" collapsed="false">
      <c r="A25" s="53"/>
      <c r="B25" s="112" t="s">
        <v>164</v>
      </c>
      <c r="C25" s="113" t="n">
        <f aca="false">F16+F19+F22</f>
        <v>5000</v>
      </c>
      <c r="D25" s="53"/>
      <c r="E25" s="53"/>
      <c r="F25" s="53"/>
      <c r="G25" s="53"/>
    </row>
    <row r="26" customFormat="false" ht="12" hidden="false" customHeight="true" outlineLevel="0" collapsed="false">
      <c r="A26" s="4"/>
      <c r="B26" s="4"/>
      <c r="C26" s="4"/>
      <c r="D26" s="4"/>
      <c r="E26" s="4"/>
      <c r="F26" s="4"/>
      <c r="G26" s="4"/>
      <c r="H26" s="4"/>
    </row>
    <row r="27" customFormat="false" ht="24" hidden="false" customHeight="true" outlineLevel="0" collapsed="false">
      <c r="A27" s="101" t="s">
        <v>165</v>
      </c>
      <c r="B27" s="101"/>
      <c r="C27" s="101"/>
      <c r="D27" s="101"/>
      <c r="E27" s="101"/>
      <c r="F27" s="101"/>
      <c r="G27" s="101"/>
      <c r="H27" s="101"/>
    </row>
    <row r="28" customFormat="false" ht="21.75" hidden="false" customHeight="true" outlineLevel="0" collapsed="false">
      <c r="A28" s="53"/>
      <c r="B28" s="114" t="s">
        <v>166</v>
      </c>
      <c r="C28" s="114"/>
      <c r="D28" s="114"/>
      <c r="E28" s="114"/>
      <c r="F28" s="114"/>
      <c r="G28" s="53"/>
    </row>
    <row r="29" customFormat="false" ht="24" hidden="false" customHeight="true" outlineLevel="0" collapsed="false">
      <c r="A29" s="41"/>
      <c r="B29" s="42" t="s">
        <v>167</v>
      </c>
      <c r="C29" s="43" t="s">
        <v>168</v>
      </c>
      <c r="D29" s="42" t="s">
        <v>169</v>
      </c>
      <c r="E29" s="115" t="s">
        <v>170</v>
      </c>
      <c r="F29" s="115"/>
      <c r="G29" s="41"/>
    </row>
    <row r="30" customFormat="false" ht="25.5" hidden="false" customHeight="true" outlineLevel="0" collapsed="false">
      <c r="A30" s="4"/>
      <c r="B30" s="116" t="s">
        <v>171</v>
      </c>
      <c r="C30" s="117" t="n">
        <v>3</v>
      </c>
      <c r="D30" s="118" t="s">
        <v>172</v>
      </c>
      <c r="E30" s="119" t="s">
        <v>173</v>
      </c>
      <c r="F30" s="119"/>
      <c r="G30" s="4"/>
    </row>
    <row r="31" customFormat="false" ht="25.5" hidden="false" customHeight="true" outlineLevel="0" collapsed="false">
      <c r="A31" s="53"/>
      <c r="B31" s="120" t="s">
        <v>174</v>
      </c>
      <c r="C31" s="117" t="n">
        <v>3</v>
      </c>
      <c r="D31" s="121" t="s">
        <v>175</v>
      </c>
      <c r="E31" s="122" t="s">
        <v>176</v>
      </c>
      <c r="F31" s="122"/>
      <c r="G31" s="53"/>
    </row>
    <row r="32" customFormat="false" ht="25.5" hidden="false" customHeight="true" outlineLevel="0" collapsed="false">
      <c r="A32" s="4"/>
      <c r="B32" s="116" t="s">
        <v>177</v>
      </c>
      <c r="C32" s="117" t="n">
        <v>3</v>
      </c>
      <c r="D32" s="118" t="s">
        <v>178</v>
      </c>
      <c r="E32" s="119" t="s">
        <v>179</v>
      </c>
      <c r="F32" s="119"/>
      <c r="G32" s="4"/>
    </row>
    <row r="33" customFormat="false" ht="25.5" hidden="false" customHeight="true" outlineLevel="0" collapsed="false">
      <c r="A33" s="53"/>
      <c r="B33" s="120" t="s">
        <v>180</v>
      </c>
      <c r="C33" s="117" t="n">
        <v>3</v>
      </c>
      <c r="D33" s="121" t="s">
        <v>181</v>
      </c>
      <c r="E33" s="122" t="s">
        <v>182</v>
      </c>
      <c r="F33" s="122"/>
      <c r="G33" s="53"/>
    </row>
    <row r="34" customFormat="false" ht="25.5" hidden="false" customHeight="true" outlineLevel="0" collapsed="false">
      <c r="A34" s="4"/>
      <c r="B34" s="116" t="s">
        <v>183</v>
      </c>
      <c r="C34" s="117" t="n">
        <v>3</v>
      </c>
      <c r="D34" s="118" t="s">
        <v>184</v>
      </c>
      <c r="E34" s="119" t="s">
        <v>185</v>
      </c>
      <c r="F34" s="119"/>
      <c r="G34" s="4"/>
    </row>
    <row r="35" customFormat="false" ht="25.5" hidden="false" customHeight="true" outlineLevel="0" collapsed="false">
      <c r="A35" s="53"/>
      <c r="B35" s="120" t="s">
        <v>186</v>
      </c>
      <c r="C35" s="117" t="n">
        <v>3</v>
      </c>
      <c r="D35" s="121" t="s">
        <v>187</v>
      </c>
      <c r="E35" s="122" t="s">
        <v>188</v>
      </c>
      <c r="F35" s="122"/>
      <c r="G35" s="53"/>
    </row>
    <row r="36" customFormat="false" ht="9.75" hidden="false" customHeight="true" outlineLevel="0" collapsed="false">
      <c r="A36" s="4"/>
      <c r="B36" s="4"/>
      <c r="C36" s="4"/>
      <c r="D36" s="4"/>
      <c r="E36" s="4"/>
      <c r="F36" s="4"/>
      <c r="G36" s="4"/>
      <c r="H36" s="4"/>
    </row>
    <row r="37" customFormat="false" ht="24" hidden="false" customHeight="true" outlineLevel="0" collapsed="false">
      <c r="A37" s="93" t="s">
        <v>189</v>
      </c>
      <c r="B37" s="93"/>
      <c r="C37" s="93"/>
      <c r="D37" s="93"/>
      <c r="E37" s="93"/>
      <c r="F37" s="93"/>
      <c r="G37" s="93"/>
      <c r="H37" s="93"/>
    </row>
    <row r="38" customFormat="false" ht="19.5" hidden="false" customHeight="true" outlineLevel="0" collapsed="false">
      <c r="A38" s="4"/>
      <c r="B38" s="94" t="s">
        <v>190</v>
      </c>
      <c r="C38" s="4"/>
      <c r="D38" s="4"/>
      <c r="E38" s="4"/>
      <c r="F38" s="4"/>
      <c r="G38" s="4"/>
    </row>
    <row r="39" customFormat="false" ht="30" hidden="false" customHeight="true" outlineLevel="0" collapsed="false">
      <c r="A39" s="4"/>
      <c r="B39" s="33" t="s">
        <v>191</v>
      </c>
      <c r="C39" s="33"/>
      <c r="D39" s="33"/>
      <c r="E39" s="33"/>
      <c r="F39" s="33"/>
      <c r="G39" s="4"/>
    </row>
    <row r="40" customFormat="false" ht="19.5" hidden="false" customHeight="true" outlineLevel="0" collapsed="false">
      <c r="A40" s="95"/>
      <c r="B40" s="96" t="s">
        <v>192</v>
      </c>
      <c r="C40" s="95"/>
      <c r="D40" s="95"/>
      <c r="E40" s="95"/>
      <c r="F40" s="95"/>
      <c r="G40" s="95"/>
    </row>
    <row r="41" customFormat="false" ht="30" hidden="false" customHeight="true" outlineLevel="0" collapsed="false">
      <c r="A41" s="95"/>
      <c r="B41" s="97" t="s">
        <v>193</v>
      </c>
      <c r="C41" s="97"/>
      <c r="D41" s="97"/>
      <c r="E41" s="97"/>
      <c r="F41" s="97"/>
      <c r="G41" s="95"/>
    </row>
    <row r="42" customFormat="false" ht="19.5" hidden="false" customHeight="true" outlineLevel="0" collapsed="false">
      <c r="A42" s="4"/>
      <c r="B42" s="94" t="s">
        <v>194</v>
      </c>
      <c r="C42" s="4"/>
      <c r="D42" s="4"/>
      <c r="E42" s="4"/>
      <c r="F42" s="4"/>
      <c r="G42" s="4"/>
    </row>
    <row r="43" customFormat="false" ht="30" hidden="false" customHeight="true" outlineLevel="0" collapsed="false">
      <c r="A43" s="4"/>
      <c r="B43" s="33" t="s">
        <v>195</v>
      </c>
      <c r="C43" s="33"/>
      <c r="D43" s="33"/>
      <c r="E43" s="33"/>
      <c r="F43" s="33"/>
      <c r="G43" s="4"/>
    </row>
    <row r="44" customFormat="false" ht="19.5" hidden="false" customHeight="true" outlineLevel="0" collapsed="false">
      <c r="A44" s="95"/>
      <c r="B44" s="96" t="s">
        <v>196</v>
      </c>
      <c r="C44" s="95"/>
      <c r="D44" s="95"/>
      <c r="E44" s="95"/>
      <c r="F44" s="95"/>
      <c r="G44" s="95"/>
    </row>
    <row r="45" customFormat="false" ht="30" hidden="false" customHeight="true" outlineLevel="0" collapsed="false">
      <c r="A45" s="95"/>
      <c r="B45" s="97" t="s">
        <v>197</v>
      </c>
      <c r="C45" s="97"/>
      <c r="D45" s="97"/>
      <c r="E45" s="97"/>
      <c r="F45" s="97"/>
      <c r="G45" s="95"/>
    </row>
    <row r="46" customFormat="false" ht="19.5" hidden="false" customHeight="true" outlineLevel="0" collapsed="false">
      <c r="A46" s="4"/>
      <c r="B46" s="94" t="s">
        <v>198</v>
      </c>
      <c r="C46" s="4"/>
      <c r="D46" s="4"/>
      <c r="E46" s="4"/>
      <c r="F46" s="4"/>
      <c r="G46" s="4"/>
    </row>
    <row r="47" customFormat="false" ht="30" hidden="false" customHeight="true" outlineLevel="0" collapsed="false">
      <c r="A47" s="4"/>
      <c r="B47" s="33" t="s">
        <v>199</v>
      </c>
      <c r="C47" s="33"/>
      <c r="D47" s="33"/>
      <c r="E47" s="33"/>
      <c r="F47" s="33"/>
      <c r="G47" s="4"/>
    </row>
    <row r="48" customFormat="false" ht="6" hidden="false" customHeight="true" outlineLevel="0" collapsed="false">
      <c r="A48" s="4"/>
      <c r="B48" s="4"/>
      <c r="C48" s="4"/>
      <c r="D48" s="4"/>
      <c r="E48" s="4"/>
      <c r="F48" s="4"/>
      <c r="G48" s="4"/>
      <c r="H48" s="4"/>
    </row>
    <row r="49" customFormat="false" ht="19.5" hidden="false" customHeight="true" outlineLevel="0" collapsed="false">
      <c r="A49" s="66" t="s">
        <v>200</v>
      </c>
      <c r="B49" s="66"/>
      <c r="C49" s="66"/>
      <c r="D49" s="66"/>
      <c r="E49" s="66"/>
      <c r="F49" s="66"/>
      <c r="G49" s="66"/>
    </row>
  </sheetData>
  <mergeCells count="28">
    <mergeCell ref="A2:H2"/>
    <mergeCell ref="A3:H3"/>
    <mergeCell ref="A6:H6"/>
    <mergeCell ref="B7:F7"/>
    <mergeCell ref="B8:F8"/>
    <mergeCell ref="B9:F9"/>
    <mergeCell ref="A11:H11"/>
    <mergeCell ref="D12:F12"/>
    <mergeCell ref="B15:F15"/>
    <mergeCell ref="B18:F18"/>
    <mergeCell ref="B21:F21"/>
    <mergeCell ref="D24:F24"/>
    <mergeCell ref="A27:H27"/>
    <mergeCell ref="B28:F28"/>
    <mergeCell ref="E29:F29"/>
    <mergeCell ref="E30:F30"/>
    <mergeCell ref="E31:F31"/>
    <mergeCell ref="E32:F32"/>
    <mergeCell ref="E33:F33"/>
    <mergeCell ref="E34:F34"/>
    <mergeCell ref="E35:F35"/>
    <mergeCell ref="A37:H37"/>
    <mergeCell ref="B39:F39"/>
    <mergeCell ref="B41:F41"/>
    <mergeCell ref="B43:F43"/>
    <mergeCell ref="B45:F45"/>
    <mergeCell ref="B47:F47"/>
    <mergeCell ref="A49:G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C86"/>
    <pageSetUpPr fitToPage="false"/>
  </sheetPr>
  <dimension ref="A1:H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5" min="3" style="0" width="16"/>
    <col collapsed="false" customWidth="true" hidden="false" outlineLevel="0" max="6" min="6" style="0" width="14"/>
    <col collapsed="false" customWidth="true" hidden="false" outlineLevel="0" max="7" min="7" style="0" width="3"/>
  </cols>
  <sheetData>
    <row r="1" customFormat="false" ht="6" hidden="false" customHeight="true" outlineLevel="0" collapsed="false">
      <c r="A1" s="123"/>
      <c r="B1" s="123"/>
      <c r="C1" s="123"/>
      <c r="D1" s="123"/>
      <c r="E1" s="123"/>
      <c r="F1" s="123"/>
      <c r="G1" s="123"/>
    </row>
    <row r="2" customFormat="false" ht="42" hidden="false" customHeight="true" outlineLevel="0" collapsed="false">
      <c r="A2" s="124" t="s">
        <v>201</v>
      </c>
      <c r="B2" s="124"/>
      <c r="C2" s="124"/>
      <c r="D2" s="124"/>
      <c r="E2" s="124"/>
      <c r="F2" s="124"/>
      <c r="G2" s="124"/>
      <c r="H2" s="124"/>
    </row>
    <row r="3" customFormat="false" ht="25.5" hidden="false" customHeight="true" outlineLevel="0" collapsed="false">
      <c r="A3" s="125" t="s">
        <v>202</v>
      </c>
      <c r="B3" s="125"/>
      <c r="C3" s="125"/>
      <c r="D3" s="125"/>
      <c r="E3" s="125"/>
      <c r="F3" s="125"/>
      <c r="G3" s="125"/>
      <c r="H3" s="125"/>
    </row>
    <row r="4" customFormat="false" ht="6" hidden="false" customHeight="true" outlineLevel="0" collapsed="false">
      <c r="A4" s="123"/>
      <c r="B4" s="123"/>
      <c r="C4" s="123"/>
      <c r="D4" s="123"/>
      <c r="E4" s="123"/>
      <c r="F4" s="123"/>
      <c r="G4" s="123"/>
    </row>
    <row r="5" customFormat="false" ht="9.75" hidden="false" customHeight="tru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24" hidden="false" customHeight="true" outlineLevel="0" collapsed="false">
      <c r="A6" s="5" t="s">
        <v>203</v>
      </c>
      <c r="B6" s="5"/>
      <c r="C6" s="5"/>
      <c r="D6" s="5"/>
      <c r="E6" s="5"/>
      <c r="F6" s="5"/>
      <c r="G6" s="5"/>
      <c r="H6" s="5"/>
    </row>
    <row r="7" customFormat="false" ht="24" hidden="false" customHeight="true" outlineLevel="0" collapsed="false">
      <c r="A7" s="10"/>
      <c r="B7" s="126" t="s">
        <v>204</v>
      </c>
      <c r="C7" s="126"/>
      <c r="D7" s="126"/>
      <c r="E7" s="126"/>
      <c r="F7" s="126"/>
      <c r="G7" s="10"/>
    </row>
    <row r="8" customFormat="false" ht="24" hidden="false" customHeight="true" outlineLevel="0" collapsed="false">
      <c r="A8" s="10"/>
      <c r="B8" s="126" t="s">
        <v>205</v>
      </c>
      <c r="C8" s="126"/>
      <c r="D8" s="126"/>
      <c r="E8" s="126"/>
      <c r="F8" s="126"/>
      <c r="G8" s="10"/>
    </row>
    <row r="9" customFormat="false" ht="24" hidden="false" customHeight="true" outlineLevel="0" collapsed="false">
      <c r="A9" s="10"/>
      <c r="B9" s="126" t="s">
        <v>206</v>
      </c>
      <c r="C9" s="126"/>
      <c r="D9" s="126"/>
      <c r="E9" s="126"/>
      <c r="F9" s="126"/>
      <c r="G9" s="10"/>
    </row>
    <row r="10" customFormat="false" ht="9.75" hidden="false" customHeight="true" outlineLevel="0" collapsed="false">
      <c r="A10" s="4"/>
      <c r="B10" s="4"/>
      <c r="C10" s="4"/>
      <c r="D10" s="4"/>
      <c r="E10" s="4"/>
      <c r="F10" s="4"/>
      <c r="G10" s="4"/>
      <c r="H10" s="4"/>
    </row>
    <row r="11" customFormat="false" ht="24" hidden="false" customHeight="true" outlineLevel="0" collapsed="false">
      <c r="A11" s="18" t="s">
        <v>207</v>
      </c>
      <c r="B11" s="18"/>
      <c r="C11" s="18"/>
      <c r="D11" s="18"/>
      <c r="E11" s="18"/>
      <c r="F11" s="18"/>
      <c r="G11" s="18"/>
      <c r="H11" s="18"/>
    </row>
    <row r="12" customFormat="false" ht="36" hidden="false" customHeight="true" outlineLevel="0" collapsed="false">
      <c r="A12" s="21"/>
      <c r="B12" s="72" t="s">
        <v>91</v>
      </c>
      <c r="C12" s="73" t="n">
        <v>5000</v>
      </c>
      <c r="D12" s="74" t="s">
        <v>153</v>
      </c>
      <c r="E12" s="74"/>
      <c r="F12" s="74"/>
      <c r="G12" s="21"/>
    </row>
    <row r="13" customFormat="false" ht="7.5" hidden="false" customHeight="tru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24" hidden="false" customHeight="true" outlineLevel="0" collapsed="false">
      <c r="A14" s="5" t="s">
        <v>208</v>
      </c>
      <c r="B14" s="5"/>
      <c r="C14" s="5"/>
      <c r="D14" s="5"/>
      <c r="E14" s="5"/>
      <c r="F14" s="5"/>
      <c r="G14" s="5"/>
      <c r="H14" s="5"/>
    </row>
    <row r="15" customFormat="false" ht="24" hidden="false" customHeight="true" outlineLevel="0" collapsed="false">
      <c r="A15" s="41"/>
      <c r="B15" s="43" t="s">
        <v>209</v>
      </c>
      <c r="C15" s="43" t="s">
        <v>210</v>
      </c>
      <c r="D15" s="43" t="s">
        <v>211</v>
      </c>
      <c r="E15" s="43" t="s">
        <v>212</v>
      </c>
      <c r="F15" s="43" t="s">
        <v>213</v>
      </c>
      <c r="G15" s="41"/>
    </row>
    <row r="16" customFormat="false" ht="24" hidden="false" customHeight="true" outlineLevel="0" collapsed="false">
      <c r="A16" s="4"/>
      <c r="B16" s="76" t="s">
        <v>214</v>
      </c>
      <c r="C16" s="127" t="n">
        <v>300</v>
      </c>
      <c r="D16" s="128" t="s">
        <v>215</v>
      </c>
      <c r="E16" s="129" t="s">
        <v>216</v>
      </c>
      <c r="F16" s="4"/>
      <c r="G16" s="4"/>
    </row>
    <row r="17" customFormat="false" ht="24" hidden="false" customHeight="true" outlineLevel="0" collapsed="false">
      <c r="A17" s="10"/>
      <c r="B17" s="130" t="s">
        <v>217</v>
      </c>
      <c r="C17" s="127" t="n">
        <v>200</v>
      </c>
      <c r="D17" s="131" t="s">
        <v>218</v>
      </c>
      <c r="E17" s="132" t="s">
        <v>216</v>
      </c>
      <c r="F17" s="10"/>
      <c r="G17" s="10"/>
    </row>
    <row r="18" customFormat="false" ht="24" hidden="false" customHeight="true" outlineLevel="0" collapsed="false">
      <c r="A18" s="4"/>
      <c r="B18" s="76" t="s">
        <v>219</v>
      </c>
      <c r="C18" s="127" t="n">
        <v>100</v>
      </c>
      <c r="D18" s="128" t="s">
        <v>220</v>
      </c>
      <c r="E18" s="129" t="s">
        <v>216</v>
      </c>
      <c r="F18" s="4"/>
      <c r="G18" s="4"/>
    </row>
    <row r="19" customFormat="false" ht="24" hidden="false" customHeight="true" outlineLevel="0" collapsed="false">
      <c r="A19" s="10"/>
      <c r="B19" s="130" t="s">
        <v>221</v>
      </c>
      <c r="C19" s="127" t="n">
        <v>1500</v>
      </c>
      <c r="D19" s="131" t="s">
        <v>222</v>
      </c>
      <c r="E19" s="132" t="s">
        <v>216</v>
      </c>
      <c r="F19" s="10"/>
      <c r="G19" s="10"/>
    </row>
    <row r="20" customFormat="false" ht="24" hidden="false" customHeight="true" outlineLevel="0" collapsed="false">
      <c r="A20" s="4"/>
      <c r="B20" s="76" t="s">
        <v>223</v>
      </c>
      <c r="C20" s="127" t="n">
        <v>200</v>
      </c>
      <c r="D20" s="128" t="s">
        <v>224</v>
      </c>
      <c r="E20" s="129" t="s">
        <v>216</v>
      </c>
      <c r="F20" s="4"/>
      <c r="G20" s="4"/>
    </row>
    <row r="21" customFormat="false" ht="24" hidden="false" customHeight="true" outlineLevel="0" collapsed="false">
      <c r="A21" s="10"/>
      <c r="B21" s="130" t="s">
        <v>225</v>
      </c>
      <c r="C21" s="127" t="n">
        <v>150</v>
      </c>
      <c r="D21" s="131" t="s">
        <v>226</v>
      </c>
      <c r="E21" s="132" t="s">
        <v>216</v>
      </c>
      <c r="F21" s="10"/>
      <c r="G21" s="10"/>
    </row>
    <row r="22" customFormat="false" ht="24" hidden="false" customHeight="true" outlineLevel="0" collapsed="false">
      <c r="A22" s="4"/>
      <c r="B22" s="76" t="s">
        <v>227</v>
      </c>
      <c r="C22" s="127" t="n">
        <v>200</v>
      </c>
      <c r="D22" s="128" t="s">
        <v>228</v>
      </c>
      <c r="E22" s="129" t="s">
        <v>216</v>
      </c>
      <c r="F22" s="4"/>
      <c r="G22" s="4"/>
    </row>
    <row r="23" customFormat="false" ht="24" hidden="false" customHeight="true" outlineLevel="0" collapsed="false">
      <c r="A23" s="10"/>
      <c r="B23" s="130" t="s">
        <v>229</v>
      </c>
      <c r="C23" s="133"/>
      <c r="D23" s="131"/>
      <c r="E23" s="134"/>
      <c r="F23" s="10"/>
      <c r="G23" s="10"/>
    </row>
    <row r="24" customFormat="false" ht="27.75" hidden="false" customHeight="true" outlineLevel="0" collapsed="false">
      <c r="A24" s="1"/>
      <c r="B24" s="88" t="s">
        <v>230</v>
      </c>
      <c r="C24" s="89" t="n">
        <f aca="false">SUM(C16:C23)</f>
        <v>2650</v>
      </c>
      <c r="D24" s="1"/>
      <c r="E24" s="1"/>
      <c r="F24" s="1"/>
      <c r="G24" s="1"/>
    </row>
    <row r="25" customFormat="false" ht="33.75" hidden="false" customHeight="true" outlineLevel="0" collapsed="false">
      <c r="A25" s="10"/>
      <c r="B25" s="11" t="s">
        <v>231</v>
      </c>
      <c r="C25" s="135" t="n">
        <f aca="false">C12-C24</f>
        <v>2350</v>
      </c>
      <c r="D25" s="136" t="s">
        <v>232</v>
      </c>
      <c r="E25" s="136"/>
      <c r="F25" s="136"/>
      <c r="G25" s="10"/>
    </row>
    <row r="26" customFormat="false" ht="12" hidden="false" customHeight="true" outlineLevel="0" collapsed="false">
      <c r="A26" s="4"/>
      <c r="B26" s="4"/>
      <c r="C26" s="4"/>
      <c r="D26" s="4"/>
      <c r="E26" s="4"/>
      <c r="F26" s="4"/>
      <c r="G26" s="4"/>
      <c r="H26" s="4"/>
    </row>
    <row r="27" customFormat="false" ht="24" hidden="false" customHeight="true" outlineLevel="0" collapsed="false">
      <c r="A27" s="5" t="s">
        <v>233</v>
      </c>
      <c r="B27" s="5"/>
      <c r="C27" s="5"/>
      <c r="D27" s="5"/>
      <c r="E27" s="5"/>
      <c r="F27" s="5"/>
      <c r="G27" s="5"/>
      <c r="H27" s="5"/>
    </row>
    <row r="28" customFormat="false" ht="21.75" hidden="false" customHeight="true" outlineLevel="0" collapsed="false">
      <c r="A28" s="10"/>
      <c r="B28" s="137" t="s">
        <v>234</v>
      </c>
      <c r="C28" s="137"/>
      <c r="D28" s="137"/>
      <c r="E28" s="137"/>
      <c r="F28" s="137"/>
      <c r="G28" s="10"/>
    </row>
    <row r="29" customFormat="false" ht="24" hidden="false" customHeight="true" outlineLevel="0" collapsed="false">
      <c r="A29" s="4"/>
      <c r="B29" s="116" t="s">
        <v>235</v>
      </c>
      <c r="C29" s="4"/>
      <c r="D29" s="138" t="s">
        <v>236</v>
      </c>
      <c r="E29" s="138"/>
      <c r="F29" s="138"/>
      <c r="G29" s="4"/>
    </row>
    <row r="30" customFormat="false" ht="24" hidden="false" customHeight="true" outlineLevel="0" collapsed="false">
      <c r="A30" s="10"/>
      <c r="B30" s="139" t="s">
        <v>237</v>
      </c>
      <c r="C30" s="10"/>
      <c r="D30" s="136" t="s">
        <v>238</v>
      </c>
      <c r="E30" s="136"/>
      <c r="F30" s="136"/>
      <c r="G30" s="10"/>
    </row>
    <row r="31" customFormat="false" ht="24" hidden="false" customHeight="true" outlineLevel="0" collapsed="false">
      <c r="A31" s="4"/>
      <c r="B31" s="116" t="s">
        <v>239</v>
      </c>
      <c r="C31" s="4"/>
      <c r="D31" s="138" t="s">
        <v>240</v>
      </c>
      <c r="E31" s="138"/>
      <c r="F31" s="138"/>
      <c r="G31" s="4"/>
    </row>
    <row r="32" customFormat="false" ht="24" hidden="false" customHeight="true" outlineLevel="0" collapsed="false">
      <c r="A32" s="10"/>
      <c r="B32" s="139" t="s">
        <v>241</v>
      </c>
      <c r="C32" s="10"/>
      <c r="D32" s="136" t="s">
        <v>242</v>
      </c>
      <c r="E32" s="136"/>
      <c r="F32" s="136"/>
      <c r="G32" s="10"/>
    </row>
    <row r="33" customFormat="false" ht="24" hidden="false" customHeight="true" outlineLevel="0" collapsed="false">
      <c r="A33" s="4"/>
      <c r="B33" s="116" t="s">
        <v>243</v>
      </c>
      <c r="C33" s="4"/>
      <c r="D33" s="138" t="s">
        <v>244</v>
      </c>
      <c r="E33" s="138"/>
      <c r="F33" s="138"/>
      <c r="G33" s="4"/>
    </row>
    <row r="34" customFormat="false" ht="9.75" hidden="false" customHeight="true" outlineLevel="0" collapsed="false">
      <c r="A34" s="4"/>
      <c r="B34" s="4"/>
      <c r="C34" s="4"/>
      <c r="D34" s="4"/>
      <c r="E34" s="4"/>
      <c r="F34" s="4"/>
      <c r="G34" s="4"/>
      <c r="H34" s="4"/>
    </row>
    <row r="35" customFormat="false" ht="24" hidden="false" customHeight="true" outlineLevel="0" collapsed="false">
      <c r="A35" s="27" t="s">
        <v>245</v>
      </c>
      <c r="B35" s="27"/>
      <c r="C35" s="27"/>
      <c r="D35" s="27"/>
      <c r="E35" s="27"/>
      <c r="F35" s="27"/>
      <c r="G35" s="27"/>
      <c r="H35" s="27"/>
    </row>
    <row r="36" customFormat="false" ht="21.75" hidden="false" customHeight="true" outlineLevel="0" collapsed="false">
      <c r="A36" s="85"/>
      <c r="B36" s="140" t="s">
        <v>246</v>
      </c>
      <c r="C36" s="140"/>
      <c r="D36" s="140"/>
      <c r="E36" s="140"/>
      <c r="F36" s="140"/>
      <c r="G36" s="85"/>
    </row>
    <row r="37" customFormat="false" ht="24" hidden="false" customHeight="true" outlineLevel="0" collapsed="false">
      <c r="A37" s="41"/>
      <c r="B37" s="43" t="s">
        <v>247</v>
      </c>
      <c r="C37" s="43" t="s">
        <v>248</v>
      </c>
      <c r="D37" s="43" t="s">
        <v>249</v>
      </c>
      <c r="E37" s="43" t="s">
        <v>250</v>
      </c>
      <c r="F37" s="43" t="s">
        <v>251</v>
      </c>
      <c r="G37" s="41"/>
    </row>
    <row r="38" customFormat="false" ht="24" hidden="false" customHeight="true" outlineLevel="0" collapsed="false">
      <c r="A38" s="4"/>
      <c r="B38" s="76" t="s">
        <v>252</v>
      </c>
      <c r="C38" s="127" t="n">
        <v>200</v>
      </c>
      <c r="D38" s="78" t="n">
        <v>0</v>
      </c>
      <c r="E38" s="79" t="n">
        <f aca="false">C38-D38</f>
        <v>200</v>
      </c>
      <c r="F38" s="141" t="str">
        <f aca="false">IF(E38&gt;=0,"✅ OK",IF(E38&gt;=-30,"⚠️ Close","🔴 Over"))</f>
        <v>✅ OK</v>
      </c>
      <c r="G38" s="4"/>
    </row>
    <row r="39" customFormat="false" ht="24" hidden="false" customHeight="true" outlineLevel="0" collapsed="false">
      <c r="A39" s="85"/>
      <c r="B39" s="142" t="s">
        <v>253</v>
      </c>
      <c r="C39" s="127" t="n">
        <v>150</v>
      </c>
      <c r="D39" s="78" t="n">
        <v>0</v>
      </c>
      <c r="E39" s="143" t="n">
        <f aca="false">C39-D39</f>
        <v>150</v>
      </c>
      <c r="F39" s="144" t="str">
        <f aca="false">IF(E39&gt;=0,"✅ OK",IF(E39&gt;=-30,"⚠️ Close","🔴 Over"))</f>
        <v>✅ OK</v>
      </c>
      <c r="G39" s="85"/>
    </row>
    <row r="40" customFormat="false" ht="24" hidden="false" customHeight="true" outlineLevel="0" collapsed="false">
      <c r="A40" s="4"/>
      <c r="B40" s="76" t="s">
        <v>254</v>
      </c>
      <c r="C40" s="127" t="n">
        <v>100</v>
      </c>
      <c r="D40" s="78" t="n">
        <v>0</v>
      </c>
      <c r="E40" s="79" t="n">
        <f aca="false">C40-D40</f>
        <v>100</v>
      </c>
      <c r="F40" s="141" t="str">
        <f aca="false">IF(E40&gt;=0,"✅ OK",IF(E40&gt;=-30,"⚠️ Close","🔴 Over"))</f>
        <v>✅ OK</v>
      </c>
      <c r="G40" s="4"/>
    </row>
    <row r="41" customFormat="false" ht="24" hidden="false" customHeight="true" outlineLevel="0" collapsed="false">
      <c r="A41" s="85"/>
      <c r="B41" s="142" t="s">
        <v>255</v>
      </c>
      <c r="C41" s="127" t="n">
        <v>100</v>
      </c>
      <c r="D41" s="78" t="n">
        <v>0</v>
      </c>
      <c r="E41" s="143" t="n">
        <f aca="false">C41-D41</f>
        <v>100</v>
      </c>
      <c r="F41" s="144" t="str">
        <f aca="false">IF(E41&gt;=0,"✅ OK",IF(E41&gt;=-30,"⚠️ Close","🔴 Over"))</f>
        <v>✅ OK</v>
      </c>
      <c r="G41" s="85"/>
    </row>
    <row r="42" customFormat="false" ht="24" hidden="false" customHeight="true" outlineLevel="0" collapsed="false">
      <c r="A42" s="4"/>
      <c r="B42" s="76" t="s">
        <v>256</v>
      </c>
      <c r="C42" s="127" t="n">
        <v>60</v>
      </c>
      <c r="D42" s="78" t="n">
        <v>0</v>
      </c>
      <c r="E42" s="79" t="n">
        <f aca="false">C42-D42</f>
        <v>60</v>
      </c>
      <c r="F42" s="141" t="str">
        <f aca="false">IF(E42&gt;=0,"✅ OK",IF(E42&gt;=-30,"⚠️ Close","🔴 Over"))</f>
        <v>✅ OK</v>
      </c>
      <c r="G42" s="4"/>
    </row>
    <row r="43" customFormat="false" ht="9.75" hidden="false" customHeight="true" outlineLevel="0" collapsed="false">
      <c r="A43" s="4"/>
      <c r="B43" s="4"/>
      <c r="C43" s="4"/>
      <c r="D43" s="4"/>
      <c r="E43" s="4"/>
      <c r="F43" s="4"/>
      <c r="G43" s="4"/>
      <c r="H43" s="4"/>
    </row>
    <row r="44" customFormat="false" ht="24" hidden="false" customHeight="true" outlineLevel="0" collapsed="false">
      <c r="A44" s="93" t="s">
        <v>257</v>
      </c>
      <c r="B44" s="93"/>
      <c r="C44" s="93"/>
      <c r="D44" s="93"/>
      <c r="E44" s="93"/>
      <c r="F44" s="93"/>
      <c r="G44" s="93"/>
      <c r="H44" s="93"/>
    </row>
    <row r="45" customFormat="false" ht="19.5" hidden="false" customHeight="true" outlineLevel="0" collapsed="false">
      <c r="A45" s="4"/>
      <c r="B45" s="94" t="s">
        <v>258</v>
      </c>
      <c r="C45" s="4"/>
      <c r="D45" s="4"/>
      <c r="E45" s="4"/>
      <c r="F45" s="4"/>
      <c r="G45" s="4"/>
    </row>
    <row r="46" customFormat="false" ht="31.5" hidden="false" customHeight="true" outlineLevel="0" collapsed="false">
      <c r="A46" s="4"/>
      <c r="B46" s="33" t="s">
        <v>259</v>
      </c>
      <c r="C46" s="33"/>
      <c r="D46" s="33"/>
      <c r="E46" s="33"/>
      <c r="F46" s="33"/>
      <c r="G46" s="4"/>
    </row>
    <row r="47" customFormat="false" ht="19.5" hidden="false" customHeight="true" outlineLevel="0" collapsed="false">
      <c r="A47" s="95"/>
      <c r="B47" s="96" t="s">
        <v>260</v>
      </c>
      <c r="C47" s="95"/>
      <c r="D47" s="95"/>
      <c r="E47" s="95"/>
      <c r="F47" s="95"/>
      <c r="G47" s="95"/>
    </row>
    <row r="48" customFormat="false" ht="31.5" hidden="false" customHeight="true" outlineLevel="0" collapsed="false">
      <c r="A48" s="95"/>
      <c r="B48" s="97" t="s">
        <v>261</v>
      </c>
      <c r="C48" s="97"/>
      <c r="D48" s="97"/>
      <c r="E48" s="97"/>
      <c r="F48" s="97"/>
      <c r="G48" s="95"/>
    </row>
    <row r="49" customFormat="false" ht="19.5" hidden="false" customHeight="true" outlineLevel="0" collapsed="false">
      <c r="A49" s="4"/>
      <c r="B49" s="94" t="s">
        <v>262</v>
      </c>
      <c r="C49" s="4"/>
      <c r="D49" s="4"/>
      <c r="E49" s="4"/>
      <c r="F49" s="4"/>
      <c r="G49" s="4"/>
    </row>
    <row r="50" customFormat="false" ht="31.5" hidden="false" customHeight="true" outlineLevel="0" collapsed="false">
      <c r="A50" s="4"/>
      <c r="B50" s="33" t="s">
        <v>263</v>
      </c>
      <c r="C50" s="33"/>
      <c r="D50" s="33"/>
      <c r="E50" s="33"/>
      <c r="F50" s="33"/>
      <c r="G50" s="4"/>
    </row>
    <row r="51" customFormat="false" ht="19.5" hidden="false" customHeight="true" outlineLevel="0" collapsed="false">
      <c r="A51" s="95"/>
      <c r="B51" s="96" t="s">
        <v>264</v>
      </c>
      <c r="C51" s="95"/>
      <c r="D51" s="95"/>
      <c r="E51" s="95"/>
      <c r="F51" s="95"/>
      <c r="G51" s="95"/>
    </row>
    <row r="52" customFormat="false" ht="31.5" hidden="false" customHeight="true" outlineLevel="0" collapsed="false">
      <c r="A52" s="95"/>
      <c r="B52" s="97" t="s">
        <v>265</v>
      </c>
      <c r="C52" s="97"/>
      <c r="D52" s="97"/>
      <c r="E52" s="97"/>
      <c r="F52" s="97"/>
      <c r="G52" s="95"/>
    </row>
    <row r="53" customFormat="false" ht="19.5" hidden="false" customHeight="true" outlineLevel="0" collapsed="false">
      <c r="A53" s="4"/>
      <c r="B53" s="94" t="s">
        <v>266</v>
      </c>
      <c r="C53" s="4"/>
      <c r="D53" s="4"/>
      <c r="E53" s="4"/>
      <c r="F53" s="4"/>
      <c r="G53" s="4"/>
    </row>
    <row r="54" customFormat="false" ht="31.5" hidden="false" customHeight="true" outlineLevel="0" collapsed="false">
      <c r="A54" s="4"/>
      <c r="B54" s="33" t="s">
        <v>267</v>
      </c>
      <c r="C54" s="33"/>
      <c r="D54" s="33"/>
      <c r="E54" s="33"/>
      <c r="F54" s="33"/>
      <c r="G54" s="4"/>
    </row>
    <row r="55" customFormat="false" ht="6" hidden="false" customHeight="true" outlineLevel="0" collapsed="false">
      <c r="A55" s="4"/>
      <c r="B55" s="4"/>
      <c r="C55" s="4"/>
      <c r="D55" s="4"/>
      <c r="E55" s="4"/>
      <c r="F55" s="4"/>
      <c r="G55" s="4"/>
      <c r="H55" s="4"/>
    </row>
    <row r="56" customFormat="false" ht="19.5" hidden="false" customHeight="true" outlineLevel="0" collapsed="false">
      <c r="A56" s="66" t="s">
        <v>268</v>
      </c>
      <c r="B56" s="66"/>
      <c r="C56" s="66"/>
      <c r="D56" s="66"/>
      <c r="E56" s="66"/>
      <c r="F56" s="66"/>
      <c r="G56" s="66"/>
    </row>
  </sheetData>
  <mergeCells count="26">
    <mergeCell ref="A2:H2"/>
    <mergeCell ref="A3:H3"/>
    <mergeCell ref="A6:H6"/>
    <mergeCell ref="B7:F7"/>
    <mergeCell ref="B8:F8"/>
    <mergeCell ref="B9:F9"/>
    <mergeCell ref="A11:H11"/>
    <mergeCell ref="D12:F12"/>
    <mergeCell ref="A14:H14"/>
    <mergeCell ref="D25:F25"/>
    <mergeCell ref="A27:H27"/>
    <mergeCell ref="B28:F28"/>
    <mergeCell ref="D29:F29"/>
    <mergeCell ref="D30:F30"/>
    <mergeCell ref="D31:F31"/>
    <mergeCell ref="D32:F32"/>
    <mergeCell ref="D33:F33"/>
    <mergeCell ref="A35:H35"/>
    <mergeCell ref="B36:F36"/>
    <mergeCell ref="A44:H44"/>
    <mergeCell ref="B46:F46"/>
    <mergeCell ref="B48:F48"/>
    <mergeCell ref="B50:F50"/>
    <mergeCell ref="B52:F52"/>
    <mergeCell ref="B54:F54"/>
    <mergeCell ref="A56:G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2026-03-30T21:22:52Z</dcterms:created>
  <dc:creator>openpyxl</dc:creator>
  <dc:description/>
  <dc:language>en-US</dc:language>
  <cp:lastModifiedBy/>
  <dcterms:modified xsi:type="dcterms:W3CDTF">2026-03-30T21:22:52Z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