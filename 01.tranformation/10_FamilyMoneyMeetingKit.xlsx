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🏠 Start Here" sheetId="1" state="visible" r:id="rId3"/>
    <sheet name="💑 Week 1 — First Meeting" sheetId="2" state="visible" r:id="rId4"/>
    <sheet name="🎯 Week 2 — Shared Goals" sheetId="3" state="visible" r:id="rId5"/>
    <sheet name="📅 Week 3 — Spending Plan" sheetId="4" state="visible" r:id="rId6"/>
    <sheet name="🔁 Week 4 — The Habit" sheetId="5" state="visible" r:id="rId7"/>
    <sheet name="🗣️ Argument Scripts" sheetId="6" state="visible" r:id="rId8"/>
    <sheet name="💬 Values Exercis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<sst xmlns="http://schemas.openxmlformats.org/spreadsheetml/2006/main" count="465" uniqueCount="400">
  <si>
    <t xml:space="preserve">  💑  The Family Money Meeting Kit</t>
  </si>
  <si>
    <t xml:space="preserve">  Stop Fighting About Money in 4 Weeks · A system for couples, not a spreadsheet to argue over.</t>
  </si>
  <si>
    <t xml:space="preserve">    WHAT'S INSIDE THIS KIT</t>
  </si>
  <si>
    <t xml:space="preserve">  🏠 Start Here</t>
  </si>
  <si>
    <t xml:space="preserve">This page — orientation, 4-week plan, and how to use the kit together.</t>
  </si>
  <si>
    <t xml:space="preserve">  💑 Week 1 — First Meeting</t>
  </si>
  <si>
    <t xml:space="preserve">The 'State of Our Money' meeting. No blame, just facts. Agenda + talking guide.</t>
  </si>
  <si>
    <t xml:space="preserve">  🎯 Week 2 — Shared Goals</t>
  </si>
  <si>
    <t xml:space="preserve">Align on what you're both working toward. Values exercise + goal-setting template.</t>
  </si>
  <si>
    <t xml:space="preserve">  📅 Week 3 — Spending Plan</t>
  </si>
  <si>
    <t xml:space="preserve">Build a joint spending plan you both agree on. Decision framework for shared expenses.</t>
  </si>
  <si>
    <t xml:space="preserve">  🔁 Week 4 — The Habit</t>
  </si>
  <si>
    <t xml:space="preserve">Lock in the 20-min weekly meeting habit. Recurring agenda + monthly check-in.</t>
  </si>
  <si>
    <t xml:space="preserve">  🗣️ Argument Scripts</t>
  </si>
  <si>
    <t xml:space="preserve">Word-for-word scripts for the 5 most common couple money arguments.</t>
  </si>
  <si>
    <t xml:space="preserve">  💬 Values Exercise</t>
  </si>
  <si>
    <t xml:space="preserve">Side-by-side money values comparison. Find your shared financial identity.</t>
  </si>
  <si>
    <t xml:space="preserve">    THE 4-WEEK PLAN — 20 Minutes a Week</t>
  </si>
  <si>
    <t xml:space="preserve">  Week 1 — The First Meeting</t>
  </si>
  <si>
    <t xml:space="preserve">→ ~20 minutes together</t>
  </si>
  <si>
    <t xml:space="preserve">  No agenda, no blame. Just get your numbers on the table together for the first time.</t>
  </si>
  <si>
    <t xml:space="preserve">  Week 2 — Find Common Ground</t>
  </si>
  <si>
    <t xml:space="preserve">  Do the Values Exercise together. Discover what you actually agree on — it's more than you think.</t>
  </si>
  <si>
    <t xml:space="preserve">  Week 3 — Build the Plan</t>
  </si>
  <si>
    <t xml:space="preserve">  Turn shared values into a shared spending plan. Assign roles. Decide how decisions get made.</t>
  </si>
  <si>
    <t xml:space="preserve">  Week 4 — Make It a Habit</t>
  </si>
  <si>
    <t xml:space="preserve">  Formalize your weekly meeting format. Set recurring date/time.</t>
  </si>
  <si>
    <t xml:space="preserve">    GROUND RULES FOR YOUR MONEY MEETINGS</t>
  </si>
  <si>
    <t xml:space="preserve">  ✓  No blame, no shame</t>
  </si>
  <si>
    <t xml:space="preserve">This is a planning session, not a trial. Past overspending isn't the agenda.</t>
  </si>
  <si>
    <t xml:space="preserve">  ✓  One topic at a time</t>
  </si>
  <si>
    <t xml:space="preserve">If a new issue comes up, write it on the Parking Lot and come back next week.</t>
  </si>
  <si>
    <t xml:space="preserve">  ✓  20-minute hard stop</t>
  </si>
  <si>
    <t xml:space="preserve">Short meetings stay productive. If you need more time, schedule a separate session.</t>
  </si>
  <si>
    <t xml:space="preserve">  ✓  Both partners prepared</t>
  </si>
  <si>
    <t xml:space="preserve">Each person reviews their accounts before the meeting. No surprises mid-session.</t>
  </si>
  <si>
    <t xml:space="preserve">  ✓  Decisions need consensus</t>
  </si>
  <si>
    <t xml:space="preserve">Neither partner has veto power over shared goals. Disagreements go to the scripts sheet.</t>
  </si>
  <si>
    <t xml:space="preserve">  ✓  Celebrate wins</t>
  </si>
  <si>
    <t xml:space="preserve">Start every meeting by naming one financial win from the past week — big or small.</t>
  </si>
  <si>
    <t xml:space="preserve">  Money fights are rarely about money. They're about values, security, and being heard. This kit helps with all three.</t>
  </si>
  <si>
    <t xml:space="preserve">  💑 Week 1 — The First Money Meeting</t>
  </si>
  <si>
    <t xml:space="preserve">  Goal: Get all the numbers on the table. No judgment, no fixing — just clarity.</t>
  </si>
  <si>
    <t xml:space="preserve">    BEFORE YOU SIT DOWN — Each partner does this separately (10 min)</t>
  </si>
  <si>
    <t xml:space="preserve">  Open your bank app, credit card statements, and savings/investment accounts. Just gather numbers — no analysis yet.</t>
  </si>
  <si>
    <t xml:space="preserve">Category</t>
  </si>
  <si>
    <t xml:space="preserve">Partner 1 ($)</t>
  </si>
  <si>
    <t xml:space="preserve">Partner 2 ($)</t>
  </si>
  <si>
    <t xml:space="preserve">Combined ($)</t>
  </si>
  <si>
    <t xml:space="preserve">  💵 MONTHLY INCOME</t>
  </si>
  <si>
    <t xml:space="preserve">   Take-home pay (after tax)</t>
  </si>
  <si>
    <t xml:space="preserve">   Side income / freelance</t>
  </si>
  <si>
    <t xml:space="preserve">   Other income</t>
  </si>
  <si>
    <t xml:space="preserve">  💳 MONTHLY EXPENSES</t>
  </si>
  <si>
    <t xml:space="preserve">   Rent / Mortgage</t>
  </si>
  <si>
    <t xml:space="preserve">   Utilities &amp; phone</t>
  </si>
  <si>
    <t xml:space="preserve">   Groceries</t>
  </si>
  <si>
    <t xml:space="preserve">   Transportation</t>
  </si>
  <si>
    <t xml:space="preserve">   Insurance (all)</t>
  </si>
  <si>
    <t xml:space="preserve">   Subscriptions</t>
  </si>
  <si>
    <t xml:space="preserve">   Debt payments (min)</t>
  </si>
  <si>
    <t xml:space="preserve">   Everything else</t>
  </si>
  <si>
    <t xml:space="preserve">  🏦 WHAT WE OWN (Assets)</t>
  </si>
  <si>
    <t xml:space="preserve">   Checking accounts</t>
  </si>
  <si>
    <t xml:space="preserve">   Savings accounts</t>
  </si>
  <si>
    <t xml:space="preserve">   Investments / retirement</t>
  </si>
  <si>
    <t xml:space="preserve">   Other assets</t>
  </si>
  <si>
    <t xml:space="preserve">  📉 WHAT WE OWE (Debts)</t>
  </si>
  <si>
    <t xml:space="preserve">   Credit cards (total)</t>
  </si>
  <si>
    <t xml:space="preserve">   Student loans</t>
  </si>
  <si>
    <t xml:space="preserve">   Car loans</t>
  </si>
  <si>
    <t xml:space="preserve">   Other debt</t>
  </si>
  <si>
    <t xml:space="preserve">    WEEK 1 MEETING AGENDA  (20 minutes)</t>
  </si>
  <si>
    <t xml:space="preserve">  0–2 min</t>
  </si>
  <si>
    <t xml:space="preserve">Open with a win</t>
  </si>
  <si>
    <t xml:space="preserve">  Each partner shares one financial win from the past month, no matter how small.</t>
  </si>
  <si>
    <t xml:space="preserve">  2–8 min</t>
  </si>
  <si>
    <t xml:space="preserve">Review the numbers</t>
  </si>
  <si>
    <t xml:space="preserve">  Go through the snapshot above together. Partner 1 shares, then Partner 2. Numbers only — no commentary yet.</t>
  </si>
  <si>
    <t xml:space="preserve">  8–12 min</t>
  </si>
  <si>
    <t xml:space="preserve">Name what surprised you</t>
  </si>
  <si>
    <t xml:space="preserve">  Each partner: 'I didn't realize we spent that much on _____' or 'I'm relieved that _____.' Observations only.</t>
  </si>
  <si>
    <t xml:space="preserve">  12–17 min</t>
  </si>
  <si>
    <t xml:space="preserve">Identify one shared goal</t>
  </si>
  <si>
    <t xml:space="preserve">  Agree on ONE thing you both want to work toward. Write it in the box below.</t>
  </si>
  <si>
    <t xml:space="preserve">  17–20 min</t>
  </si>
  <si>
    <t xml:space="preserve">Schedule next meeting</t>
  </si>
  <si>
    <t xml:space="preserve">  Pick day/time for Week 2. Same time each week works best. Write it down.</t>
  </si>
  <si>
    <t xml:space="preserve">  OUR WEEK 1 AGREED GOAL</t>
  </si>
  <si>
    <t xml:space="preserve">We agree that our #1 financial focus right now is: _______________</t>
  </si>
  <si>
    <t xml:space="preserve">    🅿️  PARKING LOT — Topics that came up but need their own meeting</t>
  </si>
  <si>
    <t xml:space="preserve">  1.</t>
  </si>
  <si>
    <t xml:space="preserve">  2.</t>
  </si>
  <si>
    <t xml:space="preserve">  3.</t>
  </si>
  <si>
    <t xml:space="preserve">  4.</t>
  </si>
  <si>
    <t xml:space="preserve">  If tension rises, say: 'Let's put that in the Parking Lot and come back to it.' It's structure, not avoidance.</t>
  </si>
  <si>
    <t xml:space="preserve">  🎯 Week 2 — Finding Shared Goals</t>
  </si>
  <si>
    <t xml:space="preserve">  Goal: Turn individual money priorities into a shared financial vision.</t>
  </si>
  <si>
    <t xml:space="preserve">    PART A — INDIVIDUAL PRIORITIES (do separately, 5 min each)</t>
  </si>
  <si>
    <t xml:space="preserve">  Rank each goal 1–5 independently, then compare. 1 = not a priority, 5 = extremely important to me right now.</t>
  </si>
  <si>
    <t xml:space="preserve">Financial Goal</t>
  </si>
  <si>
    <t xml:space="preserve">Partner 1 (1–5)</t>
  </si>
  <si>
    <t xml:space="preserve">Partner 2 (1–5)</t>
  </si>
  <si>
    <t xml:space="preserve">Average</t>
  </si>
  <si>
    <t xml:space="preserve">Aligned?</t>
  </si>
  <si>
    <t xml:space="preserve">   Build a 3–6 month emergency fund</t>
  </si>
  <si>
    <t xml:space="preserve">   Pay off all credit card debt</t>
  </si>
  <si>
    <t xml:space="preserve">   Buy a home / pay down mortgage faster</t>
  </si>
  <si>
    <t xml:space="preserve">   Save for kids' education</t>
  </si>
  <si>
    <t xml:space="preserve">   Retire early or at traditional age</t>
  </si>
  <si>
    <t xml:space="preserve">   Take a major trip or family vacation</t>
  </si>
  <si>
    <t xml:space="preserve">   Start or grow a business</t>
  </si>
  <si>
    <t xml:space="preserve">   Invest for long-term wealth</t>
  </si>
  <si>
    <t xml:space="preserve">   Pay off student loans</t>
  </si>
  <si>
    <t xml:space="preserve">   Reduce financial stress day-to-day</t>
  </si>
  <si>
    <t xml:space="preserve">   Support family members (parents, relatives)</t>
  </si>
  <si>
    <t xml:space="preserve">   Give generously to causes we care about</t>
  </si>
  <si>
    <t xml:space="preserve">   Have more 'fun money' without guilt</t>
  </si>
  <si>
    <t xml:space="preserve">   Build financial independence / FIRE</t>
  </si>
  <si>
    <t xml:space="preserve">    PART B — OUR TOP 3 SHARED GOALS (discuss together)</t>
  </si>
  <si>
    <t xml:space="preserve">  Look at highest average scores. Negotiate if needed. Agree on 3 goals you'll actively work toward together.</t>
  </si>
  <si>
    <t xml:space="preserve">Priority</t>
  </si>
  <si>
    <t xml:space="preserve">Goal</t>
  </si>
  <si>
    <t xml:space="preserve">Why it matters to us</t>
  </si>
  <si>
    <t xml:space="preserve">Target Amount</t>
  </si>
  <si>
    <t xml:space="preserve">Target Date</t>
  </si>
  <si>
    <t xml:space="preserve">  #1 — Must happen</t>
  </si>
  <si>
    <t xml:space="preserve">  #2 — Important</t>
  </si>
  <si>
    <t xml:space="preserve">  #3 — Working toward</t>
  </si>
  <si>
    <t xml:space="preserve">    PART C — BRIDGING THE GAPS (for goals where you scored differently)</t>
  </si>
  <si>
    <t xml:space="preserve">  If a goal shows 🔴 Gap, use this: 'Help me understand why this is/isn't important to you.' Then just listen.</t>
  </si>
  <si>
    <t xml:space="preserve">  Ask: 'What would it feel like if we achieved this goal?'</t>
  </si>
  <si>
    <t xml:space="preserve">  Why it works: Helps the less-interested partner understand the emotional payoff their partner is after.</t>
  </si>
  <si>
    <t xml:space="preserve">  Ask: 'What would we have to give up to make this a priority?'</t>
  </si>
  <si>
    <t xml:space="preserve">  Why it works: Makes tradeoffs concrete. Fear of sacrifice is often the real objection, not the goal itself.</t>
  </si>
  <si>
    <t xml:space="preserve">  Ask: 'Is there a version of this goal we could both get behind?'</t>
  </si>
  <si>
    <t xml:space="preserve">  Why it works: Finds the middle. 'Retire at 55' vs 'retire at 62' — the underlying value (freedom) is the same.</t>
  </si>
  <si>
    <t xml:space="preserve">  Ask: 'Can we put this on hold for 6 months and revisit?'</t>
  </si>
  <si>
    <t xml:space="preserve">  Why it works: Gives a skeptical partner an exit. Often they come around once they see progress on agreed goals.</t>
  </si>
  <si>
    <t xml:space="preserve">  Aligned couples don't agree on everything — they agree on what matters most right now.</t>
  </si>
  <si>
    <t xml:space="preserve">  📅 Week 3 — Building the Shared Spending Plan</t>
  </si>
  <si>
    <t xml:space="preserve">  Goal: Create a joint budget you both signed off on. No surprises, no veto power.</t>
  </si>
  <si>
    <t xml:space="preserve">    PART A — INCOME PICTURE</t>
  </si>
  <si>
    <t xml:space="preserve">Source</t>
  </si>
  <si>
    <t xml:space="preserve">Frequency</t>
  </si>
  <si>
    <t xml:space="preserve">   Primary salary / wages</t>
  </si>
  <si>
    <t xml:space="preserve">Monthly</t>
  </si>
  <si>
    <t xml:space="preserve">   Side income</t>
  </si>
  <si>
    <t xml:space="preserve">   Freelance / gig</t>
  </si>
  <si>
    <t xml:space="preserve">  TOTAL MONTHLY INCOME</t>
  </si>
  <si>
    <t xml:space="preserve">    PART B — JOINT SPENDING PLAN</t>
  </si>
  <si>
    <t xml:space="preserve">  For each category: who pays? From which account? How is it split? Agree before you need to.</t>
  </si>
  <si>
    <t xml:space="preserve">Monthly Budget</t>
  </si>
  <si>
    <t xml:space="preserve">Who Pays</t>
  </si>
  <si>
    <t xml:space="preserve">From Which Account</t>
  </si>
  <si>
    <t xml:space="preserve">Notes</t>
  </si>
  <si>
    <t xml:space="preserve">  🏠 HOUSING &amp; UTILITIES</t>
  </si>
  <si>
    <t xml:space="preserve">Joint</t>
  </si>
  <si>
    <t xml:space="preserve">Joint checking</t>
  </si>
  <si>
    <t xml:space="preserve">   Electric / Gas</t>
  </si>
  <si>
    <t xml:space="preserve">   Internet / Phone</t>
  </si>
  <si>
    <t xml:space="preserve">Partner 1</t>
  </si>
  <si>
    <t xml:space="preserve">P1 account</t>
  </si>
  <si>
    <t xml:space="preserve">   Other utilities</t>
  </si>
  <si>
    <t xml:space="preserve">   Subtotal</t>
  </si>
  <si>
    <t xml:space="preserve">  🍔 FOOD</t>
  </si>
  <si>
    <t xml:space="preserve">   Dining out (shared)</t>
  </si>
  <si>
    <t xml:space="preserve">   Personal food/snacks</t>
  </si>
  <si>
    <t xml:space="preserve">Each pays own</t>
  </si>
  <si>
    <t xml:space="preserve">Individual accounts</t>
  </si>
  <si>
    <t xml:space="preserve">  🚗 TRANSPORTATION</t>
  </si>
  <si>
    <t xml:space="preserve">   Gas &amp; car expenses</t>
  </si>
  <si>
    <t xml:space="preserve">   Car insurance</t>
  </si>
  <si>
    <t xml:space="preserve">   Ride-share / transit</t>
  </si>
  <si>
    <t xml:space="preserve">  💰 SAVINGS &amp; GOALS</t>
  </si>
  <si>
    <t xml:space="preserve">   Emergency fund</t>
  </si>
  <si>
    <t xml:space="preserve">Joint auto</t>
  </si>
  <si>
    <t xml:space="preserve">HYSA</t>
  </si>
  <si>
    <t xml:space="preserve">   Goal #1 (from Wk 2)</t>
  </si>
  <si>
    <t xml:space="preserve">Goal account</t>
  </si>
  <si>
    <t xml:space="preserve">   Goal #2 (from Wk 2)</t>
  </si>
  <si>
    <t xml:space="preserve">   Individual savings</t>
  </si>
  <si>
    <t xml:space="preserve">Each decides</t>
  </si>
  <si>
    <t xml:space="preserve">Individual</t>
  </si>
  <si>
    <t xml:space="preserve">  🎯 PERSONAL SPENDING</t>
  </si>
  <si>
    <t xml:space="preserve">   Partner 1 fun money</t>
  </si>
  <si>
    <t xml:space="preserve">   Partner 2 fun money</t>
  </si>
  <si>
    <t xml:space="preserve">Partner 2</t>
  </si>
  <si>
    <t xml:space="preserve">P2 account</t>
  </si>
  <si>
    <t xml:space="preserve">   Joint entertainment</t>
  </si>
  <si>
    <t xml:space="preserve">  📉 DEBT PAYMENTS</t>
  </si>
  <si>
    <t xml:space="preserve">   Shared debt (joint)</t>
  </si>
  <si>
    <t xml:space="preserve">   Partner 1 debt</t>
  </si>
  <si>
    <t xml:space="preserve">   Partner 2 debt</t>
  </si>
  <si>
    <t xml:space="preserve">  TOTAL PLANNED SPENDING</t>
  </si>
  <si>
    <t xml:space="preserve">  UNALLOCATED (Income − Spending)</t>
  </si>
  <si>
    <t xml:space="preserve">Positive = unallocated cash to assign. Negative = overspent plan — revisit.</t>
  </si>
  <si>
    <t xml:space="preserve">    PART C — HOW WE MAKE SPENDING DECISIONS</t>
  </si>
  <si>
    <t xml:space="preserve">  Agree on these rules now so you're not negotiating every purchase in the moment.</t>
  </si>
  <si>
    <t xml:space="preserve">Decision Type</t>
  </si>
  <si>
    <t xml:space="preserve">Rule We Agreed On</t>
  </si>
  <si>
    <t xml:space="preserve">Example / Note</t>
  </si>
  <si>
    <t xml:space="preserve">  No-ask purchases (under $___)</t>
  </si>
  <si>
    <t xml:space="preserve">Either partner can spend freely</t>
  </si>
  <si>
    <t xml:space="preserve">e.g., anything under $50 — fill in your number</t>
  </si>
  <si>
    <t xml:space="preserve">  Check-in purchases ($___–$___)</t>
  </si>
  <si>
    <t xml:space="preserve">Text the other partner before buying</t>
  </si>
  <si>
    <t xml:space="preserve">e.g., $50–$200 — a quick heads-up, not permission</t>
  </si>
  <si>
    <t xml:space="preserve">  Joint decision required (over $___)</t>
  </si>
  <si>
    <t xml:space="preserve">Both must agree before purchasing</t>
  </si>
  <si>
    <t xml:space="preserve">e.g., anything over $200 — discuss at money meeting</t>
  </si>
  <si>
    <t xml:space="preserve">  'Fun money' — individual accounts</t>
  </si>
  <si>
    <t xml:space="preserve">No questions asked, ever</t>
  </si>
  <si>
    <t xml:space="preserve">Each partner has guilt-free spending money, no receipts required</t>
  </si>
  <si>
    <t xml:space="preserve">  Emergency purchases</t>
  </si>
  <si>
    <t xml:space="preserve">Handle first, discuss at next meeting</t>
  </si>
  <si>
    <t xml:space="preserve">Don't delay an emergency for consensus</t>
  </si>
  <si>
    <t xml:space="preserve">  Surprise gifts / special occasions</t>
  </si>
  <si>
    <t xml:space="preserve">Exception to the joint rule</t>
  </si>
  <si>
    <t xml:space="preserve">Surprises allowed — just confirm it won't strain the budget</t>
  </si>
  <si>
    <t xml:space="preserve">  'Fun money' is non-negotiable. Each partner needs guilt-free spending or resentment builds.</t>
  </si>
  <si>
    <t xml:space="preserve">  🔁 Week 4 — Making It a Habit</t>
  </si>
  <si>
    <t xml:space="preserve">  Goal: Lock in a 20-minute weekly meeting you'll both actually keep.</t>
  </si>
  <si>
    <t xml:space="preserve">    OUR STANDING MONEY DATE — Fill this in together</t>
  </si>
  <si>
    <t xml:space="preserve">  📅 Day &amp; Time</t>
  </si>
  <si>
    <t xml:space="preserve">Every _______________ at _______________ (e.g., Sunday at 8pm)</t>
  </si>
  <si>
    <t xml:space="preserve">  📍 Location</t>
  </si>
  <si>
    <t xml:space="preserve">At home / coffee shop / other: _______________</t>
  </si>
  <si>
    <t xml:space="preserve">  ⏱️ Duration</t>
  </si>
  <si>
    <t xml:space="preserve">20 minutes hard stop. Timer goes on at start.</t>
  </si>
  <si>
    <t xml:space="preserve">  📵 Phones</t>
  </si>
  <si>
    <t xml:space="preserve">Face-down or in another room during the meeting.</t>
  </si>
  <si>
    <t xml:space="preserve">  🍷 Optional ritual</t>
  </si>
  <si>
    <t xml:space="preserve">e.g., a glass of wine, a specific playlist — something you associate with calm</t>
  </si>
  <si>
    <t xml:space="preserve">  ⚡ If we miss a week</t>
  </si>
  <si>
    <t xml:space="preserve">We make it up by _______________ (e.g., 'Tuesday of the same week')</t>
  </si>
  <si>
    <t xml:space="preserve">    THE WEEKLY 20-MINUTE AGENDA — Use this every week</t>
  </si>
  <si>
    <t xml:space="preserve">  Same format every week. Print it or bookmark this sheet.</t>
  </si>
  <si>
    <t xml:space="preserve">🎉 Open with a Win</t>
  </si>
  <si>
    <t xml:space="preserve">Each partner names ONE win from the past week. Small counts. This is non-negotiable — it sets the tone.</t>
  </si>
  <si>
    <t xml:space="preserve">  💡 e.g., 'I cooked 4 nights.' 'I transferred $50 to savings.' 'I didn't stress about money once.'</t>
  </si>
  <si>
    <t xml:space="preserve">  2–6 min</t>
  </si>
  <si>
    <t xml:space="preserve">💸 Spending Review</t>
  </si>
  <si>
    <t xml:space="preserve">Look at last week's spending together. No judgment — just awareness. Flag anything surprising.</t>
  </si>
  <si>
    <t xml:space="preserve">  💡 Use your bank app. 'We spent $X on dining. Does that feel right?'</t>
  </si>
  <si>
    <t xml:space="preserve">  6–10 min</t>
  </si>
  <si>
    <t xml:space="preserve">📅 Upcoming Week Preview</t>
  </si>
  <si>
    <t xml:space="preserve">What's coming this week that costs money? Birthdays, events, trips, irregular bills?</t>
  </si>
  <si>
    <t xml:space="preserve">  💡 Put a number on it now so it's not a surprise.</t>
  </si>
  <si>
    <t xml:space="preserve">  10–14 min</t>
  </si>
  <si>
    <t xml:space="preserve">🎯 Goals Check-In</t>
  </si>
  <si>
    <t xml:space="preserve">How are we tracking toward our top 3 goals? Are transfers happening?</t>
  </si>
  <si>
    <t xml:space="preserve">  💡 Quick: 'On track? Yes/no. If no — what's one thing we do differently this week?'</t>
  </si>
  <si>
    <t xml:space="preserve">  14–18 min</t>
  </si>
  <si>
    <t xml:space="preserve">🅿️ Parking Lot</t>
  </si>
  <si>
    <t xml:space="preserve">Address one item from the Parking Lot, or surface any new topic needing a decision.</t>
  </si>
  <si>
    <t xml:space="preserve">  💡 Limit to one topic. If it needs more time, schedule a separate 'big money talk.'</t>
  </si>
  <si>
    <t xml:space="preserve">  18–20 min</t>
  </si>
  <si>
    <t xml:space="preserve">✅ Close &amp; Commit</t>
  </si>
  <si>
    <t xml:space="preserve">Each partner states one thing they'll do before next meeting.</t>
  </si>
  <si>
    <t xml:space="preserve">  💡 e.g., 'I'll call about refinancing.' 'I'll cancel those two subscriptions.'</t>
  </si>
  <si>
    <t xml:space="preserve">    WEEKLY COMMITMENT TRACKER — 12-Week Log</t>
  </si>
  <si>
    <t xml:space="preserve">Week</t>
  </si>
  <si>
    <t xml:space="preserve">Date</t>
  </si>
  <si>
    <t xml:space="preserve">Partner 1 Will...</t>
  </si>
  <si>
    <t xml:space="preserve">Partner 2 Will...</t>
  </si>
  <si>
    <t xml:space="preserve">Both Done?</t>
  </si>
  <si>
    <t xml:space="preserve">  Week 1</t>
  </si>
  <si>
    <t xml:space="preserve">  Week 2</t>
  </si>
  <si>
    <t xml:space="preserve">  Week 3</t>
  </si>
  <si>
    <t xml:space="preserve">  Week 4</t>
  </si>
  <si>
    <t xml:space="preserve">  Week 5</t>
  </si>
  <si>
    <t xml:space="preserve">  Week 6</t>
  </si>
  <si>
    <t xml:space="preserve">  Week 7</t>
  </si>
  <si>
    <t xml:space="preserve">  Week 8</t>
  </si>
  <si>
    <t xml:space="preserve">  Week 9</t>
  </si>
  <si>
    <t xml:space="preserve">  Week 10</t>
  </si>
  <si>
    <t xml:space="preserve">  Week 11</t>
  </si>
  <si>
    <t xml:space="preserve">  Week 12</t>
  </si>
  <si>
    <t xml:space="preserve">    MONTHLY 30-MINUTE CHECK-IN — First meeting of each month</t>
  </si>
  <si>
    <t xml:space="preserve">  ☐  Review last month's spending</t>
  </si>
  <si>
    <t xml:space="preserve">Did we stay in each zone? Where did we drift? No blame — just data.</t>
  </si>
  <si>
    <t xml:space="preserve">  ☐  Update goal progress</t>
  </si>
  <si>
    <t xml:space="preserve">Record current balance toward each goal. Celebrate forward movement.</t>
  </si>
  <si>
    <t xml:space="preserve">  ☐  Adjust the spending plan</t>
  </si>
  <si>
    <t xml:space="preserve">Did anything change? New expense, raise, unexpected bill? Update Week 3 sheet.</t>
  </si>
  <si>
    <t xml:space="preserve">  ☐  Revisit the Parking Lot</t>
  </si>
  <si>
    <t xml:space="preserve">Any items sitting there? Schedule a dedicated session if needed.</t>
  </si>
  <si>
    <t xml:space="preserve">  ☐  Set next month's focus</t>
  </si>
  <si>
    <t xml:space="preserve">One financial habit or goal to emphasize next month?</t>
  </si>
  <si>
    <t xml:space="preserve">  The meeting is the product. Once you've had 4 in a row, you've built the habit.</t>
  </si>
  <si>
    <t xml:space="preserve">  🗣️ Scripts for the 5 Most Common Couple Money Arguments</t>
  </si>
  <si>
    <t xml:space="preserve">  Word-for-word language that de-escalates without dismissing. Read before you need it.</t>
  </si>
  <si>
    <t xml:space="preserve">  These scripts are not about winning. They're about creating safety so both partners can be heard. Read them before a fight, not during one.</t>
  </si>
  <si>
    <t xml:space="preserve">  Argument 1 — 'You spend too much'</t>
  </si>
  <si>
    <t xml:space="preserve">  Trigger: One partner feels the other spends carelessly or secretly. The spender feels controlled or judged.</t>
  </si>
  <si>
    <t xml:space="preserve">  What it's really about: The saver needs security. The spender needs autonomy. Neither is wrong — they're speaking different financial love languages.</t>
  </si>
  <si>
    <t xml:space="preserve">  ❌  STOP SAYING THIS:</t>
  </si>
  <si>
    <t xml:space="preserve">  ✗  'Why do you always do this?'</t>
  </si>
  <si>
    <t xml:space="preserve">  ✗  'You don't even check the budget.'</t>
  </si>
  <si>
    <t xml:space="preserve">  ✗  'We can't afford that.' (said dismissively)</t>
  </si>
  <si>
    <t xml:space="preserve">  ✅  SAY THIS INSTEAD:</t>
  </si>
  <si>
    <t xml:space="preserve">  Saver says:</t>
  </si>
  <si>
    <t xml:space="preserve">  "'I want to understand — when you buy things without checking in, what's going on for you? I'm not accusing, I genuinely want to get it.'"</t>
  </si>
  <si>
    <t xml:space="preserve">  Spender says:</t>
  </si>
  <si>
    <t xml:space="preserve">  "'I feel like I have to justify every purchase. Can we agree on an amount that's mine to spend without reporting in? That would help me a lot.'"</t>
  </si>
  <si>
    <t xml:space="preserve">  Together:</t>
  </si>
  <si>
    <t xml:space="preserve">  "'Let's build a fun money buffer for each of us — no questions asked. What number feels fair?'"</t>
  </si>
  <si>
    <t xml:space="preserve">  ✓ Resolution:</t>
  </si>
  <si>
    <t xml:space="preserve">Create individual fun money accounts. No receipts, no reports, no guilt. Each partner's fun money is their domain.</t>
  </si>
  <si>
    <t xml:space="preserve">  Argument 2 — 'We never save enough'</t>
  </si>
  <si>
    <t xml:space="preserve">  Trigger: One partner wants to save aggressively; the other wants to enjoy life now.</t>
  </si>
  <si>
    <t xml:space="preserve">  What it's really about: Different time orientations — future-focused vs. present-focused. Neither is wrong about their core need.</t>
  </si>
  <si>
    <t xml:space="preserve">  ✗  'You never think about the future.'</t>
  </si>
  <si>
    <t xml:space="preserve">  ✗  'You're so cheap — we work hard, we should enjoy it.'</t>
  </si>
  <si>
    <t xml:space="preserve">  ✗  'We're never going to retire at this rate.'</t>
  </si>
  <si>
    <t xml:space="preserve">  "'I feel scared when our savings aren't growing. It's a security thing for me. Can we talk about what number would make me feel safe?'"</t>
  </si>
  <si>
    <t xml:space="preserve">  "'I hear you. I just also feel like we give up a lot already. Can we find an amount to save that doesn't make us feel deprived?'"</t>
  </si>
  <si>
    <t xml:space="preserve">  "'What if we automate savings on payday, then spend what's left? The future is handled and we're free to enjoy the present.'"</t>
  </si>
  <si>
    <t xml:space="preserve">Automate savings on payday. Neither partner has to choose to save — it's already done. Then spend freely from what remains.</t>
  </si>
  <si>
    <t xml:space="preserve">  Argument 3 — 'You make more / I make less'</t>
  </si>
  <si>
    <t xml:space="preserve">  Trigger: Income imbalance creates power dynamics. One feels inferior; the other feels burdened.</t>
  </si>
  <si>
    <t xml:space="preserve">  What it's really about: Money in relationships is about power, equity, and belonging. Contribution isn't only financial.</t>
  </si>
  <si>
    <t xml:space="preserve">  ✗  'It's my money — I earned it.'</t>
  </si>
  <si>
    <t xml:space="preserve">  ✗  'I feel like I have to ask permission to spend.'</t>
  </si>
  <si>
    <t xml:space="preserve">  ✗  'You don't understand the pressure I'm under.'</t>
  </si>
  <si>
    <t xml:space="preserve">  Higher earner:</t>
  </si>
  <si>
    <t xml:space="preserve">  "'I never want you to feel like you have less say because of income. This is our household, not a scoreboard. What would make you feel like a true equal partner?'"</t>
  </si>
  <si>
    <t xml:space="preserve">  Lower earner:</t>
  </si>
  <si>
    <t xml:space="preserve">  "'I feel uncomfortable asking for things when I'm contributing less financially. Can we create a system where we both get equal discretionary money?'"</t>
  </si>
  <si>
    <t xml:space="preserve">  "'Our household runs because of both of us. Let's create equal personal spending allowances and treat shared expenses as shared — period.'"</t>
  </si>
  <si>
    <t xml:space="preserve">Equal fun money regardless of income. Shared expenses split proportionally or 50/50. No one person owns the household finances.</t>
  </si>
  <si>
    <t xml:space="preserve">  Argument 4 — 'You're keeping financial secrets'</t>
  </si>
  <si>
    <t xml:space="preserve">  Trigger: Hidden purchases, secret accounts, undisclosed debt. One partner discovers something and feels betrayed.</t>
  </si>
  <si>
    <t xml:space="preserve">  What it's really about: Financial infidelity is about trust and shame — not money itself. The hider felt they couldn't be honest.</t>
  </si>
  <si>
    <t xml:space="preserve">  ✗  'How could you lie to me?'</t>
  </si>
  <si>
    <t xml:space="preserve">  ✗  'I can never trust you again.'</t>
  </si>
  <si>
    <t xml:space="preserve">  ✗  Issuing ultimatums in the heat of the moment.</t>
  </si>
  <si>
    <t xml:space="preserve">  Discovering partner:</t>
  </si>
  <si>
    <t xml:space="preserve">  "'I feel hurt and scared right now. I'm not ready to talk about the money yet. I need to understand why you felt like you couldn't tell me first.'"</t>
  </si>
  <si>
    <t xml:space="preserve">  Hiding partner:</t>
  </si>
  <si>
    <t xml:space="preserve">  "'I was ashamed and scared you'd react badly. That's not an excuse — I know it hurt you. I want to be fully transparent going forward.'"</t>
  </si>
  <si>
    <t xml:space="preserve">  "'Let's create full financial transparency — shared logins, no hidden accounts — and individual freedom so hiding feels unnecessary.'"</t>
  </si>
  <si>
    <t xml:space="preserve">Full transparency on shared finances + individual no-questions-asked accounts. Shame creates secrets; freedom reduces them.</t>
  </si>
  <si>
    <t xml:space="preserve">  Argument 5 — 'Your family / my family costs us'</t>
  </si>
  <si>
    <t xml:space="preserve">  Trigger: One partner sends money to family or feels obligated to family events. The other feels excluded from the decision.</t>
  </si>
  <si>
    <t xml:space="preserve">  What it's really about: Cultural expectations, loyalty conflicts, and unclear boundaries around our money vs. family money.</t>
  </si>
  <si>
    <t xml:space="preserve">  ✗  'Your family is bleeding us dry.'</t>
  </si>
  <si>
    <t xml:space="preserve">  ✗  'You don't understand my family obligations.'</t>
  </si>
  <si>
    <t xml:space="preserve">  ✗  'I never agreed to support them.'</t>
  </si>
  <si>
    <t xml:space="preserve">  Concerned partner:</t>
  </si>
  <si>
    <t xml:space="preserve">  "'I want to support your family — I do. I just need to understand what we're committed to so I can plan. Can we talk about what the expectation is and put a number to it?'"</t>
  </si>
  <si>
    <t xml:space="preserve">  Family-obligated partner:</t>
  </si>
  <si>
    <t xml:space="preserve">  "'My family obligations are important to me, and I know they affect us. I'd feel better if we had a dedicated budget for this rather than it being a recurring fight.'"</t>
  </si>
  <si>
    <t xml:space="preserve">  "'Let's create a family support line in our budget. We decide the amount together. Anything within that amount is pre-approved. Anything over it, we discuss first.'"</t>
  </si>
  <si>
    <t xml:space="preserve">A dedicated family support budget line, agreed on by both partners. Predictability removes the resentment.</t>
  </si>
  <si>
    <t xml:space="preserve">  The goal isn't to win the argument. It's to still be on the same team when it's over.</t>
  </si>
  <si>
    <t xml:space="preserve">  💬 Money Values Alignment Exercise</t>
  </si>
  <si>
    <t xml:space="preserve">  Find your shared financial identity — what money is actually for in your relationship.</t>
  </si>
  <si>
    <t xml:space="preserve">  Do this separately first, then compare. Rank each value 1–5 (1=not important, 5=core to who I am). No right answers.</t>
  </si>
  <si>
    <t xml:space="preserve">Money Value</t>
  </si>
  <si>
    <t xml:space="preserve">What this looks like in practice</t>
  </si>
  <si>
    <t xml:space="preserve">  Security</t>
  </si>
  <si>
    <t xml:space="preserve">Large emergency fund, stable income, low debt. Discomfort with financial risk.</t>
  </si>
  <si>
    <t xml:space="preserve">  Freedom</t>
  </si>
  <si>
    <t xml:space="preserve">Liquidity over long locks, career flexibility, no feeling of being trapped by expenses.</t>
  </si>
  <si>
    <t xml:space="preserve">  Adventure</t>
  </si>
  <si>
    <t xml:space="preserve">Travel budget, memorable events, spontaneous spending on life experiences.</t>
  </si>
  <si>
    <t xml:space="preserve">  Stability</t>
  </si>
  <si>
    <t xml:space="preserve">Fixed budget, routine savings, consistent lifestyle spending, few surprises.</t>
  </si>
  <si>
    <t xml:space="preserve">  Generosity</t>
  </si>
  <si>
    <t xml:space="preserve">Regular giving, family support, charitable donations, picking up tabs.</t>
  </si>
  <si>
    <t xml:space="preserve">  Status</t>
  </si>
  <si>
    <t xml:space="preserve">Nice home, car, clothes. Visible markers of success. Quality over frugality.</t>
  </si>
  <si>
    <t xml:space="preserve">  Simplicity</t>
  </si>
  <si>
    <t xml:space="preserve">Low expenses, minimal possessions, small footprint. Anti-consumerist.</t>
  </si>
  <si>
    <t xml:space="preserve">  Growth</t>
  </si>
  <si>
    <t xml:space="preserve">High savings rate, investment focus, FIRE mindset, delayed gratification.</t>
  </si>
  <si>
    <t xml:space="preserve">  Comfort</t>
  </si>
  <si>
    <t xml:space="preserve">Nice meals, comfortable home, quality items. Not luxury, just not cheap.</t>
  </si>
  <si>
    <t xml:space="preserve">  Legacy</t>
  </si>
  <si>
    <t xml:space="preserve">Estate planning, life insurance, generational wealth focus.</t>
  </si>
  <si>
    <t xml:space="preserve">  Spontaneity</t>
  </si>
  <si>
    <t xml:space="preserve">Flexible budget, less planning, saying yes to opportunities as they arise.</t>
  </si>
  <si>
    <t xml:space="preserve">  Control</t>
  </si>
  <si>
    <t xml:space="preserve">Detailed tracking, spreadsheets, categories. Discomfort with financial vagueness.</t>
  </si>
  <si>
    <t xml:space="preserve">    DEBRIEF — Discuss these questions after you've both scored</t>
  </si>
  <si>
    <t xml:space="preserve">  ❓  Where did we align?</t>
  </si>
  <si>
    <t xml:space="preserve">  Look for matching 4s and 5s. Those are your shared financial identity. Write them down — they're your foundation.</t>
  </si>
  <si>
    <t xml:space="preserve">  ❓  Where did we differ most?</t>
  </si>
  <si>
    <t xml:space="preserve">  Look for the biggest gaps. These aren't deal-breakers — they're negotiation points. Understanding the why is the work.</t>
  </si>
  <si>
    <t xml:space="preserve">  ❓  Whose values drive our current spending?</t>
  </si>
  <si>
    <t xml:space="preserve">  Be honest. Often one partner's values shape the household unconsciously. Naming it isn't blame — it's data.</t>
  </si>
  <si>
    <t xml:space="preserve">  ❓  What value are we starving?</t>
  </si>
  <si>
    <t xml:space="preserve">  Is there a high-score value neither of you is currently honoring? That gap is often where financial resentment hides.</t>
  </si>
  <si>
    <t xml:space="preserve">  ❓  What is our shared financial identity?</t>
  </si>
  <si>
    <t xml:space="preserve">  In one sentence: 'As a couple, money is for _____.' This becomes your financial north star. Write it below.</t>
  </si>
  <si>
    <t xml:space="preserve">  OUR FINANCIAL IDENTITY STATEMENT — Write it together, keep it visible</t>
  </si>
  <si>
    <t xml:space="preserve">As a couple, money is for: _______________________________________________</t>
  </si>
  <si>
    <t xml:space="preserve">  Knowing your shared financial identity makes every budget decision easier — because you both know what you're building toward.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</si>
</sst>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"/>
    <numFmt numFmtId="167" formatCode="0.0"/>
  </numFmts>
  <fonts count="4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B0C4D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i val="true"/>
      <sz val="9"/>
      <color rgb="FFE0E0E0"/>
      <name val="Arial"/>
      <family val="0"/>
      <charset val="1"/>
    </font>
    <font>
      <b val="true"/>
      <sz val="10"/>
      <color rgb="FF546E7A"/>
      <name val="Arial"/>
      <family val="0"/>
      <charset val="1"/>
    </font>
    <font>
      <i val="true"/>
      <sz val="10"/>
      <color rgb="FF333333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sz val="11"/>
      <color rgb="FF0D47A1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color rgb="FF6D4C41"/>
      <name val="Arial"/>
      <family val="0"/>
      <charset val="1"/>
    </font>
    <font>
      <i val="true"/>
      <sz val="11"/>
      <color rgb="FF0D47A1"/>
      <name val="Arial"/>
      <family val="0"/>
      <charset val="1"/>
    </font>
    <font>
      <sz val="11"/>
      <color rgb="FF546E7A"/>
      <name val="Arial"/>
      <family val="0"/>
      <charset val="1"/>
    </font>
    <font>
      <i val="true"/>
      <sz val="9"/>
      <color rgb="FFB0C4DE"/>
      <name val="Arial"/>
      <family val="0"/>
      <charset val="1"/>
    </font>
    <font>
      <b val="true"/>
      <sz val="12"/>
      <color rgb="FF0D47A1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i val="true"/>
      <sz val="10"/>
      <color rgb="FF0D47A1"/>
      <name val="Arial"/>
      <family val="0"/>
      <charset val="1"/>
    </font>
    <font>
      <i val="true"/>
      <sz val="9"/>
      <color rgb="FF546E7A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00695C"/>
      <name val="Arial"/>
      <family val="0"/>
      <charset val="1"/>
    </font>
    <font>
      <b val="true"/>
      <sz val="11"/>
      <color rgb="FF00695C"/>
      <name val="Arial"/>
      <family val="0"/>
      <charset val="1"/>
    </font>
    <font>
      <b val="true"/>
      <sz val="14"/>
      <color rgb="FF00695C"/>
      <name val="Arial"/>
      <family val="0"/>
      <charset val="1"/>
    </font>
    <font>
      <b val="true"/>
      <sz val="10"/>
      <color rgb="FF00695C"/>
      <name val="Arial"/>
      <family val="0"/>
      <charset val="1"/>
    </font>
    <font>
      <b val="true"/>
      <sz val="10"/>
      <color rgb="FF6A1B9A"/>
      <name val="Arial"/>
      <family val="0"/>
      <charset val="1"/>
    </font>
    <font>
      <sz val="12"/>
      <color rgb="FF2E7D32"/>
      <name val="Arial"/>
      <family val="0"/>
      <charset val="1"/>
    </font>
    <font>
      <i val="true"/>
      <sz val="10"/>
      <color rgb="FFC62828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i val="true"/>
      <sz val="10"/>
      <color rgb="FF222222"/>
      <name val="Arial"/>
      <family val="0"/>
      <charset val="1"/>
    </font>
    <font>
      <i val="true"/>
      <sz val="10"/>
      <color rgb="FF6D4C41"/>
      <name val="Arial"/>
      <family val="0"/>
      <charset val="1"/>
    </font>
    <font>
      <i val="true"/>
      <sz val="10"/>
      <color rgb="FF6A1B9A"/>
      <name val="Arial"/>
      <family val="0"/>
      <charset val="1"/>
    </font>
    <font>
      <i val="true"/>
      <sz val="10"/>
      <color rgb="FF2E7D32"/>
      <name val="Arial"/>
      <family val="0"/>
      <charset val="1"/>
    </font>
    <font>
      <b val="true"/>
      <sz val="18"/>
      <color rgb="FF1B2A4A"/>
      <name val="Arial"/>
      <family val="0"/>
      <charset val="1"/>
    </font>
    <font>
      <i val="true"/>
      <sz val="10"/>
      <color rgb="FF5D4037"/>
      <name val="Arial"/>
      <family val="0"/>
      <charset val="1"/>
    </font>
    <font>
      <b val="true"/>
      <sz val="13"/>
      <color rgb="FF0D47A1"/>
      <name val="Arial"/>
      <family val="0"/>
      <charset val="1"/>
    </font>
    <font>
      <b val="true"/>
      <sz val="10"/>
      <color rgb="FFF57F17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i val="true"/>
      <sz val="13"/>
      <color rgb="FF0D47A1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B2A4A"/>
        <bgColor rgb="FF222222"/>
      </patternFill>
    </fill>
    <fill>
      <patternFill patternType="solid">
        <fgColor rgb="FFFFFFFF"/>
        <bgColor rgb="FFF4F6F9"/>
      </patternFill>
    </fill>
    <fill>
      <patternFill patternType="solid">
        <fgColor rgb="FF6D4C41"/>
        <bgColor rgb="FF5D4037"/>
      </patternFill>
    </fill>
    <fill>
      <patternFill patternType="solid">
        <fgColor rgb="FFF4F6F9"/>
        <bgColor rgb="FFECEFF1"/>
      </patternFill>
    </fill>
    <fill>
      <patternFill patternType="solid">
        <fgColor rgb="FF2E7D32"/>
        <bgColor rgb="FF008000"/>
      </patternFill>
    </fill>
    <fill>
      <patternFill patternType="solid">
        <fgColor rgb="FF00695C"/>
        <bgColor rgb="FF008080"/>
      </patternFill>
    </fill>
    <fill>
      <patternFill patternType="solid">
        <fgColor rgb="FF6A1B9A"/>
        <bgColor rgb="FF800080"/>
      </patternFill>
    </fill>
    <fill>
      <patternFill patternType="solid">
        <fgColor rgb="FFC62828"/>
        <bgColor rgb="FFFF0000"/>
      </patternFill>
    </fill>
    <fill>
      <patternFill patternType="solid">
        <fgColor rgb="FFF57F17"/>
        <bgColor rgb="FFFF9900"/>
      </patternFill>
    </fill>
    <fill>
      <patternFill patternType="solid">
        <fgColor rgb="FF546E7A"/>
        <bgColor rgb="FF808080"/>
      </patternFill>
    </fill>
    <fill>
      <patternFill patternType="solid">
        <fgColor rgb="FFECEFF1"/>
        <bgColor rgb="FFE8F5E9"/>
      </patternFill>
    </fill>
    <fill>
      <patternFill patternType="solid">
        <fgColor rgb="FFD0D7E2"/>
        <bgColor rgb="FFE0E0E0"/>
      </patternFill>
    </fill>
    <fill>
      <patternFill patternType="solid">
        <fgColor rgb="FFFFFF00"/>
        <bgColor rgb="FFFFFF00"/>
      </patternFill>
    </fill>
    <fill>
      <patternFill patternType="solid">
        <fgColor rgb="FFE8F5E9"/>
        <bgColor rgb="FFE0F2F1"/>
      </patternFill>
    </fill>
    <fill>
      <patternFill patternType="solid">
        <fgColor rgb="FFE0F2F1"/>
        <bgColor rgb="FFE8F5E9"/>
      </patternFill>
    </fill>
    <fill>
      <patternFill patternType="solid">
        <fgColor rgb="FFEDE7F6"/>
        <bgColor rgb="FFECEFF1"/>
      </patternFill>
    </fill>
    <fill>
      <patternFill patternType="solid">
        <fgColor rgb="FFFFEBEE"/>
        <bgColor rgb="FFEDE7F6"/>
      </patternFill>
    </fill>
    <fill>
      <patternFill patternType="solid">
        <fgColor rgb="FFFFF8DC"/>
        <bgColor rgb="FFFFF9C4"/>
      </patternFill>
    </fill>
    <fill>
      <patternFill patternType="solid">
        <fgColor rgb="FFFFF9C4"/>
        <bgColor rgb="FFFFF8D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3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9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4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1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3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3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4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7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8" fillId="1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2" fillId="1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3" fillId="1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1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1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1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0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1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1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1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1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1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1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1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1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1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9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2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2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0" fillId="2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0" fillId="2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2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695C"/>
      <rgbColor rgb="FFB0C4DE"/>
      <rgbColor rgb="FF808080"/>
      <rgbColor rgb="FF9999FF"/>
      <rgbColor rgb="FF6D4C41"/>
      <rgbColor rgb="FFFFF9C4"/>
      <rgbColor rgb="FFE0F2F1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CEFF1"/>
      <rgbColor rgb="FFFFF8DC"/>
      <rgbColor rgb="FFEDE7F6"/>
      <rgbColor rgb="FFFFEBEE"/>
      <rgbColor rgb="FFF4F6F9"/>
      <rgbColor rgb="FFE0E0E0"/>
      <rgbColor rgb="FF3366FF"/>
      <rgbColor rgb="FF33CCCC"/>
      <rgbColor rgb="FF99CC00"/>
      <rgbColor rgb="FFFFCC00"/>
      <rgbColor rgb="FFFF9900"/>
      <rgbColor rgb="FFF57F17"/>
      <rgbColor rgb="FF546E7A"/>
      <rgbColor rgb="FF969696"/>
      <rgbColor rgb="FF1B2A4A"/>
      <rgbColor rgb="FF2E7D32"/>
      <rgbColor rgb="FF003300"/>
      <rgbColor rgb="FF222222"/>
      <rgbColor rgb="FFC62828"/>
      <rgbColor rgb="FF5D4037"/>
      <rgbColor rgb="FF0D47A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32"/>
    <col collapsed="false" customWidth="true" hidden="false" outlineLevel="0" max="6" min="4" style="0" width="14"/>
    <col collapsed="false" customWidth="true" hidden="false" outlineLevel="0" max="7" min="7" style="0" width="8"/>
    <col collapsed="false" customWidth="true" hidden="false" outlineLevel="0" max="8" min="8" style="0" width="3"/>
  </cols>
  <sheetData>
    <row r="1" customFormat="false" ht="6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48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</row>
    <row r="3" customFormat="false" ht="25.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4" customFormat="false" ht="6" hidden="false" customHeight="true" outlineLevel="0" collapsed="false">
      <c r="A4" s="1"/>
      <c r="B4" s="1"/>
      <c r="C4" s="1"/>
      <c r="D4" s="1"/>
      <c r="E4" s="1"/>
      <c r="F4" s="1"/>
      <c r="G4" s="1"/>
      <c r="H4" s="1"/>
    </row>
    <row r="5" customFormat="false" ht="12" hidden="false" customHeight="tru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24" hidden="false" customHeight="true" outlineLevel="0" collapsed="false">
      <c r="A6" s="5" t="s">
        <v>2</v>
      </c>
      <c r="B6" s="5"/>
      <c r="C6" s="5"/>
      <c r="D6" s="5"/>
      <c r="E6" s="5"/>
      <c r="F6" s="5"/>
      <c r="G6" s="5"/>
      <c r="H6" s="5"/>
    </row>
    <row r="7" customFormat="false" ht="25.5" hidden="false" customHeight="true" outlineLevel="0" collapsed="false">
      <c r="A7" s="4"/>
      <c r="B7" s="6" t="s">
        <v>3</v>
      </c>
      <c r="C7" s="7" t="s">
        <v>4</v>
      </c>
      <c r="D7" s="4"/>
      <c r="E7" s="4"/>
      <c r="F7" s="4"/>
      <c r="G7" s="4"/>
      <c r="H7" s="4"/>
    </row>
    <row r="8" customFormat="false" ht="25.5" hidden="false" customHeight="true" outlineLevel="0" collapsed="false">
      <c r="A8" s="8"/>
      <c r="B8" s="9" t="s">
        <v>5</v>
      </c>
      <c r="C8" s="10" t="s">
        <v>6</v>
      </c>
      <c r="D8" s="8"/>
      <c r="E8" s="8"/>
      <c r="F8" s="8"/>
      <c r="G8" s="8"/>
      <c r="H8" s="8"/>
    </row>
    <row r="9" customFormat="false" ht="25.5" hidden="false" customHeight="true" outlineLevel="0" collapsed="false">
      <c r="A9" s="4"/>
      <c r="B9" s="11" t="s">
        <v>7</v>
      </c>
      <c r="C9" s="7" t="s">
        <v>8</v>
      </c>
      <c r="D9" s="4"/>
      <c r="E9" s="4"/>
      <c r="F9" s="4"/>
      <c r="G9" s="4"/>
      <c r="H9" s="4"/>
    </row>
    <row r="10" customFormat="false" ht="25.5" hidden="false" customHeight="true" outlineLevel="0" collapsed="false">
      <c r="A10" s="8"/>
      <c r="B10" s="12" t="s">
        <v>9</v>
      </c>
      <c r="C10" s="10" t="s">
        <v>10</v>
      </c>
      <c r="D10" s="8"/>
      <c r="E10" s="8"/>
      <c r="F10" s="8"/>
      <c r="G10" s="8"/>
      <c r="H10" s="8"/>
    </row>
    <row r="11" customFormat="false" ht="25.5" hidden="false" customHeight="true" outlineLevel="0" collapsed="false">
      <c r="A11" s="4"/>
      <c r="B11" s="13" t="s">
        <v>11</v>
      </c>
      <c r="C11" s="7" t="s">
        <v>12</v>
      </c>
      <c r="D11" s="4"/>
      <c r="E11" s="4"/>
      <c r="F11" s="4"/>
      <c r="G11" s="4"/>
      <c r="H11" s="4"/>
    </row>
    <row r="12" customFormat="false" ht="25.5" hidden="false" customHeight="true" outlineLevel="0" collapsed="false">
      <c r="A12" s="8"/>
      <c r="B12" s="14" t="s">
        <v>13</v>
      </c>
      <c r="C12" s="10" t="s">
        <v>14</v>
      </c>
      <c r="D12" s="8"/>
      <c r="E12" s="8"/>
      <c r="F12" s="8"/>
      <c r="G12" s="8"/>
      <c r="H12" s="8"/>
    </row>
    <row r="13" customFormat="false" ht="25.5" hidden="false" customHeight="true" outlineLevel="0" collapsed="false">
      <c r="A13" s="4"/>
      <c r="B13" s="15" t="s">
        <v>15</v>
      </c>
      <c r="C13" s="7" t="s">
        <v>16</v>
      </c>
      <c r="D13" s="4"/>
      <c r="E13" s="4"/>
      <c r="F13" s="4"/>
      <c r="G13" s="4"/>
      <c r="H13" s="4"/>
    </row>
    <row r="14" customFormat="false" ht="12" hidden="false" customHeight="true" outlineLevel="0" collapsed="false">
      <c r="A14" s="4"/>
      <c r="B14" s="4"/>
      <c r="C14" s="4"/>
      <c r="D14" s="4"/>
      <c r="E14" s="4"/>
      <c r="F14" s="4"/>
      <c r="G14" s="4"/>
      <c r="H14" s="4"/>
    </row>
    <row r="15" customFormat="false" ht="24" hidden="false" customHeight="true" outlineLevel="0" collapsed="false">
      <c r="A15" s="5" t="s">
        <v>17</v>
      </c>
      <c r="B15" s="5"/>
      <c r="C15" s="5"/>
      <c r="D15" s="5"/>
      <c r="E15" s="5"/>
      <c r="F15" s="5"/>
      <c r="G15" s="5"/>
      <c r="H15" s="5"/>
    </row>
    <row r="16" customFormat="false" ht="24" hidden="false" customHeight="true" outlineLevel="0" collapsed="false">
      <c r="A16" s="16"/>
      <c r="B16" s="5" t="s">
        <v>18</v>
      </c>
      <c r="C16" s="5"/>
      <c r="D16" s="17" t="s">
        <v>19</v>
      </c>
      <c r="E16" s="17"/>
      <c r="F16" s="17"/>
      <c r="G16" s="17"/>
      <c r="H16" s="16"/>
    </row>
    <row r="17" customFormat="false" ht="31.5" hidden="false" customHeight="true" outlineLevel="0" collapsed="false">
      <c r="A17" s="8"/>
      <c r="B17" s="18" t="s">
        <v>20</v>
      </c>
      <c r="C17" s="18"/>
      <c r="D17" s="18"/>
      <c r="E17" s="18"/>
      <c r="F17" s="18"/>
      <c r="G17" s="18"/>
      <c r="H17" s="8"/>
    </row>
    <row r="18" customFormat="false" ht="6" hidden="false" customHeight="tru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24" hidden="false" customHeight="true" outlineLevel="0" collapsed="false">
      <c r="A19" s="19"/>
      <c r="B19" s="20" t="s">
        <v>21</v>
      </c>
      <c r="C19" s="20"/>
      <c r="D19" s="21" t="s">
        <v>19</v>
      </c>
      <c r="E19" s="21"/>
      <c r="F19" s="21"/>
      <c r="G19" s="21"/>
      <c r="H19" s="19"/>
    </row>
    <row r="20" customFormat="false" ht="31.5" hidden="false" customHeight="true" outlineLevel="0" collapsed="false">
      <c r="A20" s="8"/>
      <c r="B20" s="18" t="s">
        <v>22</v>
      </c>
      <c r="C20" s="18"/>
      <c r="D20" s="18"/>
      <c r="E20" s="18"/>
      <c r="F20" s="18"/>
      <c r="G20" s="18"/>
      <c r="H20" s="8"/>
    </row>
    <row r="21" customFormat="false" ht="6" hidden="false" customHeight="tru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24" hidden="false" customHeight="true" outlineLevel="0" collapsed="false">
      <c r="A22" s="22"/>
      <c r="B22" s="23" t="s">
        <v>23</v>
      </c>
      <c r="C22" s="23"/>
      <c r="D22" s="24" t="s">
        <v>19</v>
      </c>
      <c r="E22" s="24"/>
      <c r="F22" s="24"/>
      <c r="G22" s="24"/>
      <c r="H22" s="22"/>
    </row>
    <row r="23" customFormat="false" ht="31.5" hidden="false" customHeight="true" outlineLevel="0" collapsed="false">
      <c r="A23" s="8"/>
      <c r="B23" s="18" t="s">
        <v>24</v>
      </c>
      <c r="C23" s="18"/>
      <c r="D23" s="18"/>
      <c r="E23" s="18"/>
      <c r="F23" s="18"/>
      <c r="G23" s="18"/>
      <c r="H23" s="8"/>
    </row>
    <row r="24" customFormat="false" ht="6" hidden="false" customHeight="tru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24" hidden="false" customHeight="true" outlineLevel="0" collapsed="false">
      <c r="A25" s="25"/>
      <c r="B25" s="26" t="s">
        <v>25</v>
      </c>
      <c r="C25" s="26"/>
      <c r="D25" s="27" t="s">
        <v>19</v>
      </c>
      <c r="E25" s="27"/>
      <c r="F25" s="27"/>
      <c r="G25" s="27"/>
      <c r="H25" s="25"/>
    </row>
    <row r="26" customFormat="false" ht="31.5" hidden="false" customHeight="true" outlineLevel="0" collapsed="false">
      <c r="A26" s="8"/>
      <c r="B26" s="18" t="s">
        <v>26</v>
      </c>
      <c r="C26" s="18"/>
      <c r="D26" s="18"/>
      <c r="E26" s="18"/>
      <c r="F26" s="18"/>
      <c r="G26" s="18"/>
      <c r="H26" s="8"/>
    </row>
    <row r="27" customFormat="false" ht="6" hidden="false" customHeight="true" outlineLevel="0" collapsed="false">
      <c r="A27" s="4"/>
      <c r="B27" s="4"/>
      <c r="C27" s="4"/>
      <c r="D27" s="4"/>
      <c r="E27" s="4"/>
      <c r="F27" s="4"/>
      <c r="G27" s="4"/>
      <c r="H27" s="4"/>
    </row>
    <row r="28" customFormat="false" ht="12" hidden="false" customHeight="true" outlineLevel="0" collapsed="false">
      <c r="A28" s="4"/>
      <c r="B28" s="4"/>
      <c r="C28" s="4"/>
      <c r="D28" s="4"/>
      <c r="E28" s="4"/>
      <c r="F28" s="4"/>
      <c r="G28" s="4"/>
      <c r="H28" s="4"/>
    </row>
    <row r="29" customFormat="false" ht="24" hidden="false" customHeight="true" outlineLevel="0" collapsed="false">
      <c r="A29" s="28" t="s">
        <v>27</v>
      </c>
      <c r="B29" s="28"/>
      <c r="C29" s="28"/>
      <c r="D29" s="28"/>
      <c r="E29" s="28"/>
      <c r="F29" s="28"/>
      <c r="G29" s="28"/>
      <c r="H29" s="28"/>
    </row>
    <row r="30" customFormat="false" ht="24" hidden="false" customHeight="true" outlineLevel="0" collapsed="false">
      <c r="A30" s="4"/>
      <c r="B30" s="29" t="s">
        <v>28</v>
      </c>
      <c r="C30" s="30" t="s">
        <v>29</v>
      </c>
      <c r="D30" s="30"/>
      <c r="E30" s="30"/>
      <c r="F30" s="30"/>
      <c r="G30" s="30"/>
      <c r="H30" s="4"/>
    </row>
    <row r="31" customFormat="false" ht="24" hidden="false" customHeight="true" outlineLevel="0" collapsed="false">
      <c r="A31" s="31"/>
      <c r="B31" s="32" t="s">
        <v>30</v>
      </c>
      <c r="C31" s="33" t="s">
        <v>31</v>
      </c>
      <c r="D31" s="33"/>
      <c r="E31" s="33"/>
      <c r="F31" s="33"/>
      <c r="G31" s="33"/>
      <c r="H31" s="31"/>
    </row>
    <row r="32" customFormat="false" ht="24" hidden="false" customHeight="true" outlineLevel="0" collapsed="false">
      <c r="A32" s="4"/>
      <c r="B32" s="29" t="s">
        <v>32</v>
      </c>
      <c r="C32" s="30" t="s">
        <v>33</v>
      </c>
      <c r="D32" s="30"/>
      <c r="E32" s="30"/>
      <c r="F32" s="30"/>
      <c r="G32" s="30"/>
      <c r="H32" s="4"/>
    </row>
    <row r="33" customFormat="false" ht="24" hidden="false" customHeight="true" outlineLevel="0" collapsed="false">
      <c r="A33" s="31"/>
      <c r="B33" s="32" t="s">
        <v>34</v>
      </c>
      <c r="C33" s="33" t="s">
        <v>35</v>
      </c>
      <c r="D33" s="33"/>
      <c r="E33" s="33"/>
      <c r="F33" s="33"/>
      <c r="G33" s="33"/>
      <c r="H33" s="31"/>
    </row>
    <row r="34" customFormat="false" ht="24" hidden="false" customHeight="true" outlineLevel="0" collapsed="false">
      <c r="A34" s="4"/>
      <c r="B34" s="29" t="s">
        <v>36</v>
      </c>
      <c r="C34" s="30" t="s">
        <v>37</v>
      </c>
      <c r="D34" s="30"/>
      <c r="E34" s="30"/>
      <c r="F34" s="30"/>
      <c r="G34" s="30"/>
      <c r="H34" s="4"/>
    </row>
    <row r="35" customFormat="false" ht="24" hidden="false" customHeight="true" outlineLevel="0" collapsed="false">
      <c r="A35" s="31"/>
      <c r="B35" s="32" t="s">
        <v>38</v>
      </c>
      <c r="C35" s="33" t="s">
        <v>39</v>
      </c>
      <c r="D35" s="33"/>
      <c r="E35" s="33"/>
      <c r="F35" s="33"/>
      <c r="G35" s="33"/>
      <c r="H35" s="31"/>
    </row>
    <row r="36" customFormat="false" ht="9.75" hidden="false" customHeight="true" outlineLevel="0" collapsed="false">
      <c r="A36" s="4"/>
      <c r="B36" s="4"/>
      <c r="C36" s="4"/>
      <c r="D36" s="4"/>
      <c r="E36" s="4"/>
      <c r="F36" s="4"/>
      <c r="G36" s="4"/>
      <c r="H36" s="4"/>
    </row>
    <row r="37" customFormat="false" ht="24" hidden="false" customHeight="true" outlineLevel="0" collapsed="false">
      <c r="A37" s="34" t="s">
        <v>40</v>
      </c>
      <c r="B37" s="34"/>
      <c r="C37" s="34"/>
      <c r="D37" s="34"/>
      <c r="E37" s="34"/>
      <c r="F37" s="34"/>
      <c r="G37" s="34"/>
      <c r="H37" s="34"/>
    </row>
    <row r="38" customFormat="false" ht="6" hidden="false" customHeight="true" outlineLevel="0" collapsed="false">
      <c r="A38" s="1"/>
      <c r="B38" s="1"/>
      <c r="C38" s="1"/>
      <c r="D38" s="1"/>
      <c r="E38" s="1"/>
      <c r="F38" s="1"/>
      <c r="G38" s="1"/>
      <c r="H38" s="1"/>
    </row>
  </sheetData>
  <mergeCells count="24">
    <mergeCell ref="A2:H2"/>
    <mergeCell ref="A3:H3"/>
    <mergeCell ref="A6:H6"/>
    <mergeCell ref="A15:H15"/>
    <mergeCell ref="B16:C16"/>
    <mergeCell ref="D16:G16"/>
    <mergeCell ref="B17:G17"/>
    <mergeCell ref="B19:C19"/>
    <mergeCell ref="D19:G19"/>
    <mergeCell ref="B20:G20"/>
    <mergeCell ref="B22:C22"/>
    <mergeCell ref="D22:G22"/>
    <mergeCell ref="B23:G23"/>
    <mergeCell ref="B25:C25"/>
    <mergeCell ref="D25:G25"/>
    <mergeCell ref="B26:G26"/>
    <mergeCell ref="A29:H29"/>
    <mergeCell ref="C30:G30"/>
    <mergeCell ref="C31:G31"/>
    <mergeCell ref="C32:G32"/>
    <mergeCell ref="C33:G33"/>
    <mergeCell ref="C34:G34"/>
    <mergeCell ref="C35:G35"/>
    <mergeCell ref="A37:H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D4C41"/>
    <pageSetUpPr fitToPage="false"/>
  </sheetPr>
  <dimension ref="A1:H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4" min="3" style="0" width="22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6"/>
    <col collapsed="false" customWidth="true" hidden="false" outlineLevel="0" max="8" min="8" style="0" width="3"/>
  </cols>
  <sheetData>
    <row r="1" customFormat="false" ht="6" hidden="false" customHeight="true" outlineLevel="0" collapsed="false">
      <c r="A1" s="16"/>
      <c r="B1" s="16"/>
      <c r="C1" s="16"/>
      <c r="D1" s="16"/>
      <c r="E1" s="16"/>
      <c r="F1" s="16"/>
      <c r="G1" s="16"/>
      <c r="H1" s="16"/>
    </row>
    <row r="2" customFormat="false" ht="48" hidden="false" customHeight="true" outlineLevel="0" collapsed="false">
      <c r="A2" s="35" t="s">
        <v>41</v>
      </c>
      <c r="B2" s="35"/>
      <c r="C2" s="35"/>
      <c r="D2" s="35"/>
      <c r="E2" s="35"/>
      <c r="F2" s="35"/>
      <c r="G2" s="35"/>
      <c r="H2" s="35"/>
    </row>
    <row r="3" customFormat="false" ht="25.5" hidden="false" customHeight="true" outlineLevel="0" collapsed="false">
      <c r="A3" s="36" t="s">
        <v>42</v>
      </c>
      <c r="B3" s="36"/>
      <c r="C3" s="36"/>
      <c r="D3" s="36"/>
      <c r="E3" s="36"/>
      <c r="F3" s="36"/>
      <c r="G3" s="36"/>
      <c r="H3" s="36"/>
    </row>
    <row r="4" customFormat="false" ht="6" hidden="false" customHeight="true" outlineLevel="0" collapsed="false">
      <c r="A4" s="16"/>
      <c r="B4" s="16"/>
      <c r="C4" s="16"/>
      <c r="D4" s="16"/>
      <c r="E4" s="16"/>
      <c r="F4" s="16"/>
      <c r="G4" s="16"/>
      <c r="H4" s="16"/>
    </row>
    <row r="5" customFormat="false" ht="9.75" hidden="false" customHeight="tru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24" hidden="false" customHeight="true" outlineLevel="0" collapsed="false">
      <c r="A6" s="28" t="s">
        <v>43</v>
      </c>
      <c r="B6" s="28"/>
      <c r="C6" s="28"/>
      <c r="D6" s="28"/>
      <c r="E6" s="28"/>
      <c r="F6" s="28"/>
      <c r="G6" s="28"/>
      <c r="H6" s="28"/>
    </row>
    <row r="7" customFormat="false" ht="21.75" hidden="false" customHeight="true" outlineLevel="0" collapsed="false">
      <c r="A7" s="31"/>
      <c r="B7" s="37" t="s">
        <v>44</v>
      </c>
      <c r="C7" s="37"/>
      <c r="D7" s="37"/>
      <c r="E7" s="37"/>
      <c r="F7" s="37"/>
      <c r="G7" s="37"/>
      <c r="H7" s="31"/>
    </row>
    <row r="8" customFormat="false" ht="7.5" hidden="false" customHeight="tru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25.5" hidden="false" customHeight="true" outlineLevel="0" collapsed="false">
      <c r="A9" s="38"/>
      <c r="B9" s="39" t="s">
        <v>45</v>
      </c>
      <c r="C9" s="40" t="s">
        <v>46</v>
      </c>
      <c r="D9" s="40" t="s">
        <v>47</v>
      </c>
      <c r="E9" s="40" t="s">
        <v>48</v>
      </c>
      <c r="F9" s="38"/>
      <c r="G9" s="38"/>
      <c r="H9" s="38"/>
    </row>
    <row r="10" customFormat="false" ht="21.75" hidden="false" customHeight="true" outlineLevel="0" collapsed="false">
      <c r="A10" s="16"/>
      <c r="B10" s="41" t="s">
        <v>49</v>
      </c>
      <c r="C10" s="41"/>
      <c r="D10" s="41"/>
      <c r="E10" s="41"/>
      <c r="F10" s="41"/>
      <c r="G10" s="41"/>
      <c r="H10" s="16"/>
    </row>
    <row r="11" customFormat="false" ht="24" hidden="false" customHeight="true" outlineLevel="0" collapsed="false">
      <c r="A11" s="4"/>
      <c r="B11" s="42" t="s">
        <v>50</v>
      </c>
      <c r="C11" s="43"/>
      <c r="D11" s="43"/>
      <c r="E11" s="44" t="n">
        <f aca="false">IFERROR(C11+D11,"")</f>
        <v>0</v>
      </c>
      <c r="F11" s="4"/>
      <c r="G11" s="4"/>
      <c r="H11" s="4"/>
    </row>
    <row r="12" customFormat="false" ht="24" hidden="false" customHeight="true" outlineLevel="0" collapsed="false">
      <c r="A12" s="8"/>
      <c r="B12" s="45" t="s">
        <v>51</v>
      </c>
      <c r="C12" s="43"/>
      <c r="D12" s="43"/>
      <c r="E12" s="46" t="n">
        <f aca="false">IFERROR(C12+D12,"")</f>
        <v>0</v>
      </c>
      <c r="F12" s="8"/>
      <c r="G12" s="8"/>
      <c r="H12" s="8"/>
    </row>
    <row r="13" customFormat="false" ht="24" hidden="false" customHeight="true" outlineLevel="0" collapsed="false">
      <c r="A13" s="4"/>
      <c r="B13" s="42" t="s">
        <v>52</v>
      </c>
      <c r="C13" s="43"/>
      <c r="D13" s="43"/>
      <c r="E13" s="44" t="n">
        <f aca="false">IFERROR(C13+D13,"")</f>
        <v>0</v>
      </c>
      <c r="F13" s="4"/>
      <c r="G13" s="4"/>
      <c r="H13" s="4"/>
    </row>
    <row r="14" customFormat="false" ht="21.75" hidden="false" customHeight="true" outlineLevel="0" collapsed="false">
      <c r="A14" s="47"/>
      <c r="B14" s="48" t="s">
        <v>53</v>
      </c>
      <c r="C14" s="48"/>
      <c r="D14" s="48"/>
      <c r="E14" s="48"/>
      <c r="F14" s="48"/>
      <c r="G14" s="48"/>
      <c r="H14" s="47"/>
    </row>
    <row r="15" customFormat="false" ht="24" hidden="false" customHeight="true" outlineLevel="0" collapsed="false">
      <c r="A15" s="4"/>
      <c r="B15" s="42" t="s">
        <v>54</v>
      </c>
      <c r="C15" s="43"/>
      <c r="D15" s="43"/>
      <c r="E15" s="44" t="n">
        <f aca="false">IFERROR(C15+D15,"")</f>
        <v>0</v>
      </c>
      <c r="F15" s="4"/>
      <c r="G15" s="4"/>
      <c r="H15" s="4"/>
    </row>
    <row r="16" customFormat="false" ht="24" hidden="false" customHeight="true" outlineLevel="0" collapsed="false">
      <c r="A16" s="8"/>
      <c r="B16" s="45" t="s">
        <v>55</v>
      </c>
      <c r="C16" s="43"/>
      <c r="D16" s="43"/>
      <c r="E16" s="46" t="n">
        <f aca="false">IFERROR(C16+D16,"")</f>
        <v>0</v>
      </c>
      <c r="F16" s="8"/>
      <c r="G16" s="8"/>
      <c r="H16" s="8"/>
    </row>
    <row r="17" customFormat="false" ht="24" hidden="false" customHeight="true" outlineLevel="0" collapsed="false">
      <c r="A17" s="4"/>
      <c r="B17" s="42" t="s">
        <v>56</v>
      </c>
      <c r="C17" s="43"/>
      <c r="D17" s="43"/>
      <c r="E17" s="44" t="n">
        <f aca="false">IFERROR(C17+D17,"")</f>
        <v>0</v>
      </c>
      <c r="F17" s="4"/>
      <c r="G17" s="4"/>
      <c r="H17" s="4"/>
    </row>
    <row r="18" customFormat="false" ht="24" hidden="false" customHeight="true" outlineLevel="0" collapsed="false">
      <c r="A18" s="8"/>
      <c r="B18" s="45" t="s">
        <v>57</v>
      </c>
      <c r="C18" s="43"/>
      <c r="D18" s="43"/>
      <c r="E18" s="46" t="n">
        <f aca="false">IFERROR(C18+D18,"")</f>
        <v>0</v>
      </c>
      <c r="F18" s="8"/>
      <c r="G18" s="8"/>
      <c r="H18" s="8"/>
    </row>
    <row r="19" customFormat="false" ht="24" hidden="false" customHeight="true" outlineLevel="0" collapsed="false">
      <c r="A19" s="4"/>
      <c r="B19" s="42" t="s">
        <v>58</v>
      </c>
      <c r="C19" s="43"/>
      <c r="D19" s="43"/>
      <c r="E19" s="44" t="n">
        <f aca="false">IFERROR(C19+D19,"")</f>
        <v>0</v>
      </c>
      <c r="F19" s="4"/>
      <c r="G19" s="4"/>
      <c r="H19" s="4"/>
    </row>
    <row r="20" customFormat="false" ht="24" hidden="false" customHeight="true" outlineLevel="0" collapsed="false">
      <c r="A20" s="8"/>
      <c r="B20" s="45" t="s">
        <v>59</v>
      </c>
      <c r="C20" s="43"/>
      <c r="D20" s="43"/>
      <c r="E20" s="46" t="n">
        <f aca="false">IFERROR(C20+D20,"")</f>
        <v>0</v>
      </c>
      <c r="F20" s="8"/>
      <c r="G20" s="8"/>
      <c r="H20" s="8"/>
    </row>
    <row r="21" customFormat="false" ht="24" hidden="false" customHeight="true" outlineLevel="0" collapsed="false">
      <c r="A21" s="4"/>
      <c r="B21" s="42" t="s">
        <v>60</v>
      </c>
      <c r="C21" s="43"/>
      <c r="D21" s="43"/>
      <c r="E21" s="44" t="n">
        <f aca="false">IFERROR(C21+D21,"")</f>
        <v>0</v>
      </c>
      <c r="F21" s="4"/>
      <c r="G21" s="4"/>
      <c r="H21" s="4"/>
    </row>
    <row r="22" customFormat="false" ht="24" hidden="false" customHeight="true" outlineLevel="0" collapsed="false">
      <c r="A22" s="8"/>
      <c r="B22" s="45" t="s">
        <v>61</v>
      </c>
      <c r="C22" s="43"/>
      <c r="D22" s="43"/>
      <c r="E22" s="46" t="n">
        <f aca="false">IFERROR(C22+D22,"")</f>
        <v>0</v>
      </c>
      <c r="F22" s="8"/>
      <c r="G22" s="8"/>
      <c r="H22" s="8"/>
    </row>
    <row r="23" customFormat="false" ht="21.75" hidden="false" customHeight="true" outlineLevel="0" collapsed="false">
      <c r="A23" s="19"/>
      <c r="B23" s="49" t="s">
        <v>62</v>
      </c>
      <c r="C23" s="49"/>
      <c r="D23" s="49"/>
      <c r="E23" s="49"/>
      <c r="F23" s="49"/>
      <c r="G23" s="49"/>
      <c r="H23" s="19"/>
    </row>
    <row r="24" customFormat="false" ht="24" hidden="false" customHeight="true" outlineLevel="0" collapsed="false">
      <c r="A24" s="4"/>
      <c r="B24" s="42" t="s">
        <v>63</v>
      </c>
      <c r="C24" s="43"/>
      <c r="D24" s="43"/>
      <c r="E24" s="44" t="n">
        <f aca="false">IFERROR(C24+D24,"")</f>
        <v>0</v>
      </c>
      <c r="F24" s="4"/>
      <c r="G24" s="4"/>
      <c r="H24" s="4"/>
    </row>
    <row r="25" customFormat="false" ht="24" hidden="false" customHeight="true" outlineLevel="0" collapsed="false">
      <c r="A25" s="8"/>
      <c r="B25" s="45" t="s">
        <v>64</v>
      </c>
      <c r="C25" s="43"/>
      <c r="D25" s="43"/>
      <c r="E25" s="46" t="n">
        <f aca="false">IFERROR(C25+D25,"")</f>
        <v>0</v>
      </c>
      <c r="F25" s="8"/>
      <c r="G25" s="8"/>
      <c r="H25" s="8"/>
    </row>
    <row r="26" customFormat="false" ht="24" hidden="false" customHeight="true" outlineLevel="0" collapsed="false">
      <c r="A26" s="4"/>
      <c r="B26" s="42" t="s">
        <v>65</v>
      </c>
      <c r="C26" s="43"/>
      <c r="D26" s="43"/>
      <c r="E26" s="44" t="n">
        <f aca="false">IFERROR(C26+D26,"")</f>
        <v>0</v>
      </c>
      <c r="F26" s="4"/>
      <c r="G26" s="4"/>
      <c r="H26" s="4"/>
    </row>
    <row r="27" customFormat="false" ht="24" hidden="false" customHeight="true" outlineLevel="0" collapsed="false">
      <c r="A27" s="8"/>
      <c r="B27" s="45" t="s">
        <v>66</v>
      </c>
      <c r="C27" s="43"/>
      <c r="D27" s="43"/>
      <c r="E27" s="46" t="n">
        <f aca="false">IFERROR(C27+D27,"")</f>
        <v>0</v>
      </c>
      <c r="F27" s="8"/>
      <c r="G27" s="8"/>
      <c r="H27" s="8"/>
    </row>
    <row r="28" customFormat="false" ht="21.75" hidden="false" customHeight="true" outlineLevel="0" collapsed="false">
      <c r="A28" s="50"/>
      <c r="B28" s="51" t="s">
        <v>67</v>
      </c>
      <c r="C28" s="51"/>
      <c r="D28" s="51"/>
      <c r="E28" s="51"/>
      <c r="F28" s="51"/>
      <c r="G28" s="51"/>
      <c r="H28" s="50"/>
    </row>
    <row r="29" customFormat="false" ht="24" hidden="false" customHeight="true" outlineLevel="0" collapsed="false">
      <c r="A29" s="4"/>
      <c r="B29" s="42" t="s">
        <v>68</v>
      </c>
      <c r="C29" s="43"/>
      <c r="D29" s="43"/>
      <c r="E29" s="44" t="n">
        <f aca="false">IFERROR(C29+D29,"")</f>
        <v>0</v>
      </c>
      <c r="F29" s="4"/>
      <c r="G29" s="4"/>
      <c r="H29" s="4"/>
    </row>
    <row r="30" customFormat="false" ht="24" hidden="false" customHeight="true" outlineLevel="0" collapsed="false">
      <c r="A30" s="8"/>
      <c r="B30" s="45" t="s">
        <v>69</v>
      </c>
      <c r="C30" s="43"/>
      <c r="D30" s="43"/>
      <c r="E30" s="46" t="n">
        <f aca="false">IFERROR(C30+D30,"")</f>
        <v>0</v>
      </c>
      <c r="F30" s="8"/>
      <c r="G30" s="8"/>
      <c r="H30" s="8"/>
    </row>
    <row r="31" customFormat="false" ht="24" hidden="false" customHeight="true" outlineLevel="0" collapsed="false">
      <c r="A31" s="4"/>
      <c r="B31" s="42" t="s">
        <v>70</v>
      </c>
      <c r="C31" s="43"/>
      <c r="D31" s="43"/>
      <c r="E31" s="44" t="n">
        <f aca="false">IFERROR(C31+D31,"")</f>
        <v>0</v>
      </c>
      <c r="F31" s="4"/>
      <c r="G31" s="4"/>
      <c r="H31" s="4"/>
    </row>
    <row r="32" customFormat="false" ht="24" hidden="false" customHeight="true" outlineLevel="0" collapsed="false">
      <c r="A32" s="8"/>
      <c r="B32" s="45" t="s">
        <v>71</v>
      </c>
      <c r="C32" s="43"/>
      <c r="D32" s="43"/>
      <c r="E32" s="46" t="n">
        <f aca="false">IFERROR(C32+D32,"")</f>
        <v>0</v>
      </c>
      <c r="F32" s="8"/>
      <c r="G32" s="8"/>
      <c r="H32" s="8"/>
    </row>
    <row r="33" customFormat="false" ht="12" hidden="false" customHeight="true" outlineLevel="0" collapsed="false">
      <c r="A33" s="4"/>
      <c r="B33" s="4"/>
      <c r="C33" s="4"/>
      <c r="D33" s="4"/>
      <c r="E33" s="4"/>
      <c r="F33" s="4"/>
      <c r="G33" s="4"/>
      <c r="H33" s="4"/>
    </row>
    <row r="34" customFormat="false" ht="24" hidden="false" customHeight="true" outlineLevel="0" collapsed="false">
      <c r="A34" s="5" t="s">
        <v>72</v>
      </c>
      <c r="B34" s="5"/>
      <c r="C34" s="5"/>
      <c r="D34" s="5"/>
      <c r="E34" s="5"/>
      <c r="F34" s="5"/>
      <c r="G34" s="5"/>
      <c r="H34" s="5"/>
    </row>
    <row r="35" customFormat="false" ht="21.75" hidden="false" customHeight="true" outlineLevel="0" collapsed="false">
      <c r="A35" s="4"/>
      <c r="B35" s="52" t="s">
        <v>73</v>
      </c>
      <c r="C35" s="53" t="s">
        <v>74</v>
      </c>
      <c r="D35" s="4"/>
      <c r="E35" s="4"/>
      <c r="F35" s="4"/>
      <c r="G35" s="4"/>
      <c r="H35" s="4"/>
    </row>
    <row r="36" customFormat="false" ht="36" hidden="false" customHeight="true" outlineLevel="0" collapsed="false">
      <c r="A36" s="4"/>
      <c r="B36" s="30" t="s">
        <v>75</v>
      </c>
      <c r="C36" s="30"/>
      <c r="D36" s="30"/>
      <c r="E36" s="30"/>
      <c r="F36" s="30"/>
      <c r="G36" s="30"/>
      <c r="H36" s="4"/>
    </row>
    <row r="37" customFormat="false" ht="21.75" hidden="false" customHeight="true" outlineLevel="0" collapsed="false">
      <c r="A37" s="8"/>
      <c r="B37" s="54" t="s">
        <v>76</v>
      </c>
      <c r="C37" s="55" t="s">
        <v>77</v>
      </c>
      <c r="D37" s="8"/>
      <c r="E37" s="8"/>
      <c r="F37" s="8"/>
      <c r="G37" s="8"/>
      <c r="H37" s="8"/>
    </row>
    <row r="38" customFormat="false" ht="36" hidden="false" customHeight="true" outlineLevel="0" collapsed="false">
      <c r="A38" s="8"/>
      <c r="B38" s="18" t="s">
        <v>78</v>
      </c>
      <c r="C38" s="18"/>
      <c r="D38" s="18"/>
      <c r="E38" s="18"/>
      <c r="F38" s="18"/>
      <c r="G38" s="18"/>
      <c r="H38" s="8"/>
    </row>
    <row r="39" customFormat="false" ht="21.75" hidden="false" customHeight="true" outlineLevel="0" collapsed="false">
      <c r="A39" s="4"/>
      <c r="B39" s="52" t="s">
        <v>79</v>
      </c>
      <c r="C39" s="53" t="s">
        <v>80</v>
      </c>
      <c r="D39" s="4"/>
      <c r="E39" s="4"/>
      <c r="F39" s="4"/>
      <c r="G39" s="4"/>
      <c r="H39" s="4"/>
    </row>
    <row r="40" customFormat="false" ht="36" hidden="false" customHeight="true" outlineLevel="0" collapsed="false">
      <c r="A40" s="4"/>
      <c r="B40" s="30" t="s">
        <v>81</v>
      </c>
      <c r="C40" s="30"/>
      <c r="D40" s="30"/>
      <c r="E40" s="30"/>
      <c r="F40" s="30"/>
      <c r="G40" s="30"/>
      <c r="H40" s="4"/>
    </row>
    <row r="41" customFormat="false" ht="21.75" hidden="false" customHeight="true" outlineLevel="0" collapsed="false">
      <c r="A41" s="8"/>
      <c r="B41" s="54" t="s">
        <v>82</v>
      </c>
      <c r="C41" s="55" t="s">
        <v>83</v>
      </c>
      <c r="D41" s="8"/>
      <c r="E41" s="8"/>
      <c r="F41" s="8"/>
      <c r="G41" s="8"/>
      <c r="H41" s="8"/>
    </row>
    <row r="42" customFormat="false" ht="36" hidden="false" customHeight="true" outlineLevel="0" collapsed="false">
      <c r="A42" s="8"/>
      <c r="B42" s="18" t="s">
        <v>84</v>
      </c>
      <c r="C42" s="18"/>
      <c r="D42" s="18"/>
      <c r="E42" s="18"/>
      <c r="F42" s="18"/>
      <c r="G42" s="18"/>
      <c r="H42" s="8"/>
    </row>
    <row r="43" customFormat="false" ht="21.75" hidden="false" customHeight="true" outlineLevel="0" collapsed="false">
      <c r="A43" s="4"/>
      <c r="B43" s="52" t="s">
        <v>85</v>
      </c>
      <c r="C43" s="53" t="s">
        <v>86</v>
      </c>
      <c r="D43" s="4"/>
      <c r="E43" s="4"/>
      <c r="F43" s="4"/>
      <c r="G43" s="4"/>
      <c r="H43" s="4"/>
    </row>
    <row r="44" customFormat="false" ht="36" hidden="false" customHeight="true" outlineLevel="0" collapsed="false">
      <c r="A44" s="4"/>
      <c r="B44" s="30" t="s">
        <v>87</v>
      </c>
      <c r="C44" s="30"/>
      <c r="D44" s="30"/>
      <c r="E44" s="30"/>
      <c r="F44" s="30"/>
      <c r="G44" s="30"/>
      <c r="H44" s="4"/>
    </row>
    <row r="45" customFormat="false" ht="9.75" hidden="false" customHeight="true" outlineLevel="0" collapsed="false">
      <c r="A45" s="4"/>
      <c r="B45" s="4"/>
      <c r="C45" s="4"/>
      <c r="D45" s="4"/>
      <c r="E45" s="4"/>
      <c r="F45" s="4"/>
      <c r="G45" s="4"/>
      <c r="H45" s="4"/>
    </row>
    <row r="46" customFormat="false" ht="21.75" hidden="false" customHeight="true" outlineLevel="0" collapsed="false">
      <c r="A46" s="20" t="s">
        <v>88</v>
      </c>
      <c r="B46" s="20"/>
      <c r="C46" s="20"/>
      <c r="D46" s="20"/>
      <c r="E46" s="20"/>
      <c r="F46" s="20"/>
      <c r="G46" s="20"/>
      <c r="H46" s="20"/>
    </row>
    <row r="47" customFormat="false" ht="49.5" hidden="false" customHeight="true" outlineLevel="0" collapsed="false">
      <c r="A47" s="56"/>
      <c r="B47" s="57" t="s">
        <v>89</v>
      </c>
      <c r="C47" s="57"/>
      <c r="D47" s="57"/>
      <c r="E47" s="57"/>
      <c r="F47" s="57"/>
      <c r="G47" s="57"/>
      <c r="H47" s="56"/>
    </row>
    <row r="48" customFormat="false" ht="9.75" hidden="false" customHeight="true" outlineLevel="0" collapsed="false">
      <c r="A48" s="4"/>
      <c r="B48" s="4"/>
      <c r="C48" s="4"/>
      <c r="D48" s="4"/>
      <c r="E48" s="4"/>
      <c r="F48" s="4"/>
      <c r="G48" s="4"/>
      <c r="H48" s="4"/>
    </row>
    <row r="49" customFormat="false" ht="24" hidden="false" customHeight="true" outlineLevel="0" collapsed="false">
      <c r="A49" s="28" t="s">
        <v>90</v>
      </c>
      <c r="B49" s="28"/>
      <c r="C49" s="28"/>
      <c r="D49" s="28"/>
      <c r="E49" s="28"/>
      <c r="F49" s="28"/>
      <c r="G49" s="28"/>
      <c r="H49" s="28"/>
    </row>
    <row r="50" customFormat="false" ht="27.75" hidden="false" customHeight="true" outlineLevel="0" collapsed="false">
      <c r="A50" s="8"/>
      <c r="B50" s="58" t="s">
        <v>91</v>
      </c>
      <c r="C50" s="8"/>
      <c r="D50" s="8"/>
      <c r="E50" s="8"/>
      <c r="F50" s="8"/>
      <c r="G50" s="8"/>
      <c r="H50" s="8"/>
    </row>
    <row r="51" customFormat="false" ht="27.75" hidden="false" customHeight="true" outlineLevel="0" collapsed="false">
      <c r="A51" s="4"/>
      <c r="B51" s="59" t="s">
        <v>92</v>
      </c>
      <c r="C51" s="4"/>
      <c r="D51" s="4"/>
      <c r="E51" s="4"/>
      <c r="F51" s="4"/>
      <c r="G51" s="4"/>
      <c r="H51" s="4"/>
    </row>
    <row r="52" customFormat="false" ht="27.75" hidden="false" customHeight="true" outlineLevel="0" collapsed="false">
      <c r="A52" s="8"/>
      <c r="B52" s="58" t="s">
        <v>93</v>
      </c>
      <c r="C52" s="8"/>
      <c r="D52" s="8"/>
      <c r="E52" s="8"/>
      <c r="F52" s="8"/>
      <c r="G52" s="8"/>
      <c r="H52" s="8"/>
    </row>
    <row r="53" customFormat="false" ht="27.75" hidden="false" customHeight="true" outlineLevel="0" collapsed="false">
      <c r="A53" s="4"/>
      <c r="B53" s="59" t="s">
        <v>94</v>
      </c>
      <c r="C53" s="4"/>
      <c r="D53" s="4"/>
      <c r="E53" s="4"/>
      <c r="F53" s="4"/>
      <c r="G53" s="4"/>
      <c r="H53" s="4"/>
    </row>
    <row r="54" customFormat="false" ht="21.75" hidden="false" customHeight="true" outlineLevel="0" collapsed="false">
      <c r="A54" s="60" t="s">
        <v>95</v>
      </c>
      <c r="B54" s="60"/>
      <c r="C54" s="60"/>
      <c r="D54" s="60"/>
      <c r="E54" s="60"/>
      <c r="F54" s="60"/>
      <c r="G54" s="60"/>
      <c r="H54" s="60"/>
    </row>
  </sheetData>
  <mergeCells count="18">
    <mergeCell ref="A2:H2"/>
    <mergeCell ref="A3:H3"/>
    <mergeCell ref="A6:H6"/>
    <mergeCell ref="B7:G7"/>
    <mergeCell ref="B10:G10"/>
    <mergeCell ref="B14:G14"/>
    <mergeCell ref="B23:G23"/>
    <mergeCell ref="B28:G28"/>
    <mergeCell ref="A34:H34"/>
    <mergeCell ref="B36:G36"/>
    <mergeCell ref="B38:G38"/>
    <mergeCell ref="B40:G40"/>
    <mergeCell ref="B42:G42"/>
    <mergeCell ref="B44:G44"/>
    <mergeCell ref="A46:H46"/>
    <mergeCell ref="B47:G47"/>
    <mergeCell ref="A49:H49"/>
    <mergeCell ref="A54:H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H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6"/>
    <col collapsed="false" customWidth="true" hidden="false" outlineLevel="0" max="8" min="8" style="0" width="3"/>
  </cols>
  <sheetData>
    <row r="1" customFormat="false" ht="6" hidden="false" customHeight="true" outlineLevel="0" collapsed="false">
      <c r="A1" s="19"/>
      <c r="B1" s="19"/>
      <c r="C1" s="19"/>
      <c r="D1" s="19"/>
      <c r="E1" s="19"/>
      <c r="F1" s="19"/>
      <c r="G1" s="19"/>
      <c r="H1" s="19"/>
    </row>
    <row r="2" customFormat="false" ht="48" hidden="false" customHeight="true" outlineLevel="0" collapsed="false">
      <c r="A2" s="61" t="s">
        <v>96</v>
      </c>
      <c r="B2" s="61"/>
      <c r="C2" s="61"/>
      <c r="D2" s="61"/>
      <c r="E2" s="61"/>
      <c r="F2" s="61"/>
      <c r="G2" s="61"/>
      <c r="H2" s="61"/>
    </row>
    <row r="3" customFormat="false" ht="25.5" hidden="false" customHeight="true" outlineLevel="0" collapsed="false">
      <c r="A3" s="62" t="s">
        <v>97</v>
      </c>
      <c r="B3" s="62"/>
      <c r="C3" s="62"/>
      <c r="D3" s="62"/>
      <c r="E3" s="62"/>
      <c r="F3" s="62"/>
      <c r="G3" s="62"/>
      <c r="H3" s="62"/>
    </row>
    <row r="4" customFormat="false" ht="6" hidden="false" customHeight="true" outlineLevel="0" collapsed="false">
      <c r="A4" s="19"/>
      <c r="B4" s="19"/>
      <c r="C4" s="19"/>
      <c r="D4" s="19"/>
      <c r="E4" s="19"/>
      <c r="F4" s="19"/>
      <c r="G4" s="19"/>
      <c r="H4" s="19"/>
    </row>
    <row r="5" customFormat="false" ht="9.75" hidden="false" customHeight="tru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24" hidden="false" customHeight="true" outlineLevel="0" collapsed="false">
      <c r="A6" s="28" t="s">
        <v>98</v>
      </c>
      <c r="B6" s="28"/>
      <c r="C6" s="28"/>
      <c r="D6" s="28"/>
      <c r="E6" s="28"/>
      <c r="F6" s="28"/>
      <c r="G6" s="28"/>
      <c r="H6" s="28"/>
    </row>
    <row r="7" customFormat="false" ht="21.75" hidden="false" customHeight="true" outlineLevel="0" collapsed="false">
      <c r="A7" s="31"/>
      <c r="B7" s="37" t="s">
        <v>99</v>
      </c>
      <c r="C7" s="37"/>
      <c r="D7" s="37"/>
      <c r="E7" s="37"/>
      <c r="F7" s="37"/>
      <c r="G7" s="37"/>
      <c r="H7" s="31"/>
    </row>
    <row r="8" customFormat="false" ht="6" hidden="false" customHeight="tru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25.5" hidden="false" customHeight="true" outlineLevel="0" collapsed="false">
      <c r="A9" s="38"/>
      <c r="B9" s="39" t="s">
        <v>100</v>
      </c>
      <c r="C9" s="40" t="s">
        <v>101</v>
      </c>
      <c r="D9" s="40" t="s">
        <v>102</v>
      </c>
      <c r="E9" s="40" t="s">
        <v>103</v>
      </c>
      <c r="F9" s="40" t="s">
        <v>104</v>
      </c>
      <c r="G9" s="38"/>
      <c r="H9" s="38"/>
    </row>
    <row r="10" customFormat="false" ht="25.5" hidden="false" customHeight="true" outlineLevel="0" collapsed="false">
      <c r="A10" s="4"/>
      <c r="B10" s="42" t="s">
        <v>105</v>
      </c>
      <c r="C10" s="63"/>
      <c r="D10" s="63"/>
      <c r="E10" s="64" t="str">
        <f aca="false">IFERROR(AVERAGE(C10,D10),"")</f>
        <v/>
      </c>
      <c r="F10" s="65" t="str">
        <f aca="false">IFERROR(IF(ABS(C10-D10)&lt;=1,"✅ Aligned",IF(ABS(C10-D10)&lt;=2,"⚠️ Close","🔴 Gap")),"—")</f>
        <v>✅ Aligned</v>
      </c>
      <c r="G10" s="4"/>
      <c r="H10" s="4"/>
    </row>
    <row r="11" customFormat="false" ht="25.5" hidden="false" customHeight="true" outlineLevel="0" collapsed="false">
      <c r="A11" s="56"/>
      <c r="B11" s="66" t="s">
        <v>106</v>
      </c>
      <c r="C11" s="63"/>
      <c r="D11" s="63"/>
      <c r="E11" s="67" t="str">
        <f aca="false">IFERROR(AVERAGE(C11,D11),"")</f>
        <v/>
      </c>
      <c r="F11" s="68" t="str">
        <f aca="false">IFERROR(IF(ABS(C11-D11)&lt;=1,"✅ Aligned",IF(ABS(C11-D11)&lt;=2,"⚠️ Close","🔴 Gap")),"—")</f>
        <v>✅ Aligned</v>
      </c>
      <c r="G11" s="56"/>
      <c r="H11" s="56"/>
    </row>
    <row r="12" customFormat="false" ht="25.5" hidden="false" customHeight="true" outlineLevel="0" collapsed="false">
      <c r="A12" s="4"/>
      <c r="B12" s="42" t="s">
        <v>107</v>
      </c>
      <c r="C12" s="63"/>
      <c r="D12" s="63"/>
      <c r="E12" s="64" t="str">
        <f aca="false">IFERROR(AVERAGE(C12,D12),"")</f>
        <v/>
      </c>
      <c r="F12" s="65" t="str">
        <f aca="false">IFERROR(IF(ABS(C12-D12)&lt;=1,"✅ Aligned",IF(ABS(C12-D12)&lt;=2,"⚠️ Close","🔴 Gap")),"—")</f>
        <v>✅ Aligned</v>
      </c>
      <c r="G12" s="4"/>
      <c r="H12" s="4"/>
    </row>
    <row r="13" customFormat="false" ht="25.5" hidden="false" customHeight="true" outlineLevel="0" collapsed="false">
      <c r="A13" s="56"/>
      <c r="B13" s="66" t="s">
        <v>108</v>
      </c>
      <c r="C13" s="63"/>
      <c r="D13" s="63"/>
      <c r="E13" s="67" t="str">
        <f aca="false">IFERROR(AVERAGE(C13,D13),"")</f>
        <v/>
      </c>
      <c r="F13" s="68" t="str">
        <f aca="false">IFERROR(IF(ABS(C13-D13)&lt;=1,"✅ Aligned",IF(ABS(C13-D13)&lt;=2,"⚠️ Close","🔴 Gap")),"—")</f>
        <v>✅ Aligned</v>
      </c>
      <c r="G13" s="56"/>
      <c r="H13" s="56"/>
    </row>
    <row r="14" customFormat="false" ht="25.5" hidden="false" customHeight="true" outlineLevel="0" collapsed="false">
      <c r="A14" s="4"/>
      <c r="B14" s="42" t="s">
        <v>109</v>
      </c>
      <c r="C14" s="63"/>
      <c r="D14" s="63"/>
      <c r="E14" s="64" t="str">
        <f aca="false">IFERROR(AVERAGE(C14,D14),"")</f>
        <v/>
      </c>
      <c r="F14" s="65" t="str">
        <f aca="false">IFERROR(IF(ABS(C14-D14)&lt;=1,"✅ Aligned",IF(ABS(C14-D14)&lt;=2,"⚠️ Close","🔴 Gap")),"—")</f>
        <v>✅ Aligned</v>
      </c>
      <c r="G14" s="4"/>
      <c r="H14" s="4"/>
    </row>
    <row r="15" customFormat="false" ht="25.5" hidden="false" customHeight="true" outlineLevel="0" collapsed="false">
      <c r="A15" s="56"/>
      <c r="B15" s="66" t="s">
        <v>110</v>
      </c>
      <c r="C15" s="63"/>
      <c r="D15" s="63"/>
      <c r="E15" s="67" t="str">
        <f aca="false">IFERROR(AVERAGE(C15,D15),"")</f>
        <v/>
      </c>
      <c r="F15" s="68" t="str">
        <f aca="false">IFERROR(IF(ABS(C15-D15)&lt;=1,"✅ Aligned",IF(ABS(C15-D15)&lt;=2,"⚠️ Close","🔴 Gap")),"—")</f>
        <v>✅ Aligned</v>
      </c>
      <c r="G15" s="56"/>
      <c r="H15" s="56"/>
    </row>
    <row r="16" customFormat="false" ht="25.5" hidden="false" customHeight="true" outlineLevel="0" collapsed="false">
      <c r="A16" s="4"/>
      <c r="B16" s="42" t="s">
        <v>111</v>
      </c>
      <c r="C16" s="63"/>
      <c r="D16" s="63"/>
      <c r="E16" s="64" t="str">
        <f aca="false">IFERROR(AVERAGE(C16,D16),"")</f>
        <v/>
      </c>
      <c r="F16" s="65" t="str">
        <f aca="false">IFERROR(IF(ABS(C16-D16)&lt;=1,"✅ Aligned",IF(ABS(C16-D16)&lt;=2,"⚠️ Close","🔴 Gap")),"—")</f>
        <v>✅ Aligned</v>
      </c>
      <c r="G16" s="4"/>
      <c r="H16" s="4"/>
    </row>
    <row r="17" customFormat="false" ht="25.5" hidden="false" customHeight="true" outlineLevel="0" collapsed="false">
      <c r="A17" s="56"/>
      <c r="B17" s="66" t="s">
        <v>112</v>
      </c>
      <c r="C17" s="63"/>
      <c r="D17" s="63"/>
      <c r="E17" s="67" t="str">
        <f aca="false">IFERROR(AVERAGE(C17,D17),"")</f>
        <v/>
      </c>
      <c r="F17" s="68" t="str">
        <f aca="false">IFERROR(IF(ABS(C17-D17)&lt;=1,"✅ Aligned",IF(ABS(C17-D17)&lt;=2,"⚠️ Close","🔴 Gap")),"—")</f>
        <v>✅ Aligned</v>
      </c>
      <c r="G17" s="56"/>
      <c r="H17" s="56"/>
    </row>
    <row r="18" customFormat="false" ht="25.5" hidden="false" customHeight="true" outlineLevel="0" collapsed="false">
      <c r="A18" s="4"/>
      <c r="B18" s="42" t="s">
        <v>113</v>
      </c>
      <c r="C18" s="63"/>
      <c r="D18" s="63"/>
      <c r="E18" s="64" t="str">
        <f aca="false">IFERROR(AVERAGE(C18,D18),"")</f>
        <v/>
      </c>
      <c r="F18" s="65" t="str">
        <f aca="false">IFERROR(IF(ABS(C18-D18)&lt;=1,"✅ Aligned",IF(ABS(C18-D18)&lt;=2,"⚠️ Close","🔴 Gap")),"—")</f>
        <v>✅ Aligned</v>
      </c>
      <c r="G18" s="4"/>
      <c r="H18" s="4"/>
    </row>
    <row r="19" customFormat="false" ht="25.5" hidden="false" customHeight="true" outlineLevel="0" collapsed="false">
      <c r="A19" s="56"/>
      <c r="B19" s="66" t="s">
        <v>114</v>
      </c>
      <c r="C19" s="63"/>
      <c r="D19" s="63"/>
      <c r="E19" s="67" t="str">
        <f aca="false">IFERROR(AVERAGE(C19,D19),"")</f>
        <v/>
      </c>
      <c r="F19" s="68" t="str">
        <f aca="false">IFERROR(IF(ABS(C19-D19)&lt;=1,"✅ Aligned",IF(ABS(C19-D19)&lt;=2,"⚠️ Close","🔴 Gap")),"—")</f>
        <v>✅ Aligned</v>
      </c>
      <c r="G19" s="56"/>
      <c r="H19" s="56"/>
    </row>
    <row r="20" customFormat="false" ht="25.5" hidden="false" customHeight="true" outlineLevel="0" collapsed="false">
      <c r="A20" s="4"/>
      <c r="B20" s="42" t="s">
        <v>115</v>
      </c>
      <c r="C20" s="63"/>
      <c r="D20" s="63"/>
      <c r="E20" s="64" t="str">
        <f aca="false">IFERROR(AVERAGE(C20,D20),"")</f>
        <v/>
      </c>
      <c r="F20" s="65" t="str">
        <f aca="false">IFERROR(IF(ABS(C20-D20)&lt;=1,"✅ Aligned",IF(ABS(C20-D20)&lt;=2,"⚠️ Close","🔴 Gap")),"—")</f>
        <v>✅ Aligned</v>
      </c>
      <c r="G20" s="4"/>
      <c r="H20" s="4"/>
    </row>
    <row r="21" customFormat="false" ht="25.5" hidden="false" customHeight="true" outlineLevel="0" collapsed="false">
      <c r="A21" s="56"/>
      <c r="B21" s="66" t="s">
        <v>116</v>
      </c>
      <c r="C21" s="63"/>
      <c r="D21" s="63"/>
      <c r="E21" s="67" t="str">
        <f aca="false">IFERROR(AVERAGE(C21,D21),"")</f>
        <v/>
      </c>
      <c r="F21" s="68" t="str">
        <f aca="false">IFERROR(IF(ABS(C21-D21)&lt;=1,"✅ Aligned",IF(ABS(C21-D21)&lt;=2,"⚠️ Close","🔴 Gap")),"—")</f>
        <v>✅ Aligned</v>
      </c>
      <c r="G21" s="56"/>
      <c r="H21" s="56"/>
    </row>
    <row r="22" customFormat="false" ht="25.5" hidden="false" customHeight="true" outlineLevel="0" collapsed="false">
      <c r="A22" s="4"/>
      <c r="B22" s="42" t="s">
        <v>117</v>
      </c>
      <c r="C22" s="63"/>
      <c r="D22" s="63"/>
      <c r="E22" s="64" t="str">
        <f aca="false">IFERROR(AVERAGE(C22,D22),"")</f>
        <v/>
      </c>
      <c r="F22" s="65" t="str">
        <f aca="false">IFERROR(IF(ABS(C22-D22)&lt;=1,"✅ Aligned",IF(ABS(C22-D22)&lt;=2,"⚠️ Close","🔴 Gap")),"—")</f>
        <v>✅ Aligned</v>
      </c>
      <c r="G22" s="4"/>
      <c r="H22" s="4"/>
    </row>
    <row r="23" customFormat="false" ht="25.5" hidden="false" customHeight="true" outlineLevel="0" collapsed="false">
      <c r="A23" s="56"/>
      <c r="B23" s="66" t="s">
        <v>118</v>
      </c>
      <c r="C23" s="63"/>
      <c r="D23" s="63"/>
      <c r="E23" s="67" t="str">
        <f aca="false">IFERROR(AVERAGE(C23,D23),"")</f>
        <v/>
      </c>
      <c r="F23" s="68" t="str">
        <f aca="false">IFERROR(IF(ABS(C23-D23)&lt;=1,"✅ Aligned",IF(ABS(C23-D23)&lt;=2,"⚠️ Close","🔴 Gap")),"—")</f>
        <v>✅ Aligned</v>
      </c>
      <c r="G23" s="56"/>
      <c r="H23" s="56"/>
    </row>
    <row r="24" customFormat="false" ht="12" hidden="false" customHeight="tru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24" hidden="false" customHeight="true" outlineLevel="0" collapsed="false">
      <c r="A25" s="20" t="s">
        <v>119</v>
      </c>
      <c r="B25" s="20"/>
      <c r="C25" s="20"/>
      <c r="D25" s="20"/>
      <c r="E25" s="20"/>
      <c r="F25" s="20"/>
      <c r="G25" s="20"/>
      <c r="H25" s="20"/>
    </row>
    <row r="26" customFormat="false" ht="21.75" hidden="false" customHeight="true" outlineLevel="0" collapsed="false">
      <c r="A26" s="56"/>
      <c r="B26" s="69" t="s">
        <v>120</v>
      </c>
      <c r="C26" s="69"/>
      <c r="D26" s="69"/>
      <c r="E26" s="69"/>
      <c r="F26" s="69"/>
      <c r="G26" s="69"/>
      <c r="H26" s="56"/>
    </row>
    <row r="27" customFormat="false" ht="6" hidden="false" customHeight="true" outlineLevel="0" collapsed="false">
      <c r="A27" s="4"/>
      <c r="B27" s="4"/>
      <c r="C27" s="4"/>
      <c r="D27" s="4"/>
      <c r="E27" s="4"/>
      <c r="F27" s="4"/>
      <c r="G27" s="4"/>
      <c r="H27" s="4"/>
    </row>
    <row r="28" customFormat="false" ht="25.5" hidden="false" customHeight="true" outlineLevel="0" collapsed="false">
      <c r="A28" s="38"/>
      <c r="B28" s="40" t="s">
        <v>121</v>
      </c>
      <c r="C28" s="38"/>
      <c r="D28" s="38"/>
      <c r="E28" s="38"/>
      <c r="F28" s="38"/>
      <c r="G28" s="38"/>
      <c r="H28" s="38"/>
    </row>
    <row r="29" customFormat="false" ht="15" hidden="false" customHeight="false" outlineLevel="0" collapsed="false">
      <c r="C29" s="40" t="s">
        <v>122</v>
      </c>
    </row>
    <row r="30" customFormat="false" ht="15" hidden="false" customHeight="false" outlineLevel="0" collapsed="false">
      <c r="D30" s="40" t="s">
        <v>123</v>
      </c>
    </row>
    <row r="31" customFormat="false" ht="15" hidden="false" customHeight="false" outlineLevel="0" collapsed="false">
      <c r="E31" s="40" t="s">
        <v>124</v>
      </c>
    </row>
    <row r="32" customFormat="false" ht="15" hidden="false" customHeight="false" outlineLevel="0" collapsed="false">
      <c r="F32" s="40" t="s">
        <v>125</v>
      </c>
    </row>
    <row r="33" customFormat="false" ht="27.75" hidden="false" customHeight="true" outlineLevel="0" collapsed="false">
      <c r="A33" s="56"/>
      <c r="B33" s="70" t="s">
        <v>126</v>
      </c>
      <c r="C33" s="71"/>
      <c r="D33" s="56"/>
      <c r="E33" s="56"/>
      <c r="F33" s="56"/>
      <c r="G33" s="56"/>
      <c r="H33" s="56"/>
    </row>
    <row r="34" customFormat="false" ht="15" hidden="false" customHeight="false" outlineLevel="0" collapsed="false">
      <c r="D34" s="71"/>
    </row>
    <row r="35" customFormat="false" ht="15" hidden="false" customHeight="false" outlineLevel="0" collapsed="false">
      <c r="E35" s="71"/>
    </row>
    <row r="36" customFormat="false" ht="15" hidden="false" customHeight="false" outlineLevel="0" collapsed="false">
      <c r="F36" s="71"/>
    </row>
    <row r="37" customFormat="false" ht="27.75" hidden="false" customHeight="true" outlineLevel="0" collapsed="false">
      <c r="A37" s="4"/>
      <c r="B37" s="72" t="s">
        <v>127</v>
      </c>
      <c r="C37" s="73"/>
      <c r="D37" s="4"/>
      <c r="E37" s="4"/>
      <c r="F37" s="4"/>
      <c r="G37" s="4"/>
      <c r="H37" s="4"/>
    </row>
    <row r="38" customFormat="false" ht="15" hidden="false" customHeight="false" outlineLevel="0" collapsed="false">
      <c r="D38" s="73"/>
    </row>
    <row r="39" customFormat="false" ht="15" hidden="false" customHeight="false" outlineLevel="0" collapsed="false">
      <c r="E39" s="73"/>
    </row>
    <row r="40" customFormat="false" ht="15" hidden="false" customHeight="false" outlineLevel="0" collapsed="false">
      <c r="F40" s="73"/>
    </row>
    <row r="41" customFormat="false" ht="27.75" hidden="false" customHeight="true" outlineLevel="0" collapsed="false">
      <c r="A41" s="8"/>
      <c r="B41" s="74" t="s">
        <v>128</v>
      </c>
      <c r="C41" s="75"/>
      <c r="D41" s="8"/>
      <c r="E41" s="8"/>
      <c r="F41" s="8"/>
      <c r="G41" s="8"/>
      <c r="H41" s="8"/>
    </row>
    <row r="42" customFormat="false" ht="15" hidden="false" customHeight="false" outlineLevel="0" collapsed="false">
      <c r="D42" s="75"/>
    </row>
    <row r="43" customFormat="false" ht="15" hidden="false" customHeight="false" outlineLevel="0" collapsed="false">
      <c r="E43" s="75"/>
    </row>
    <row r="44" customFormat="false" ht="15" hidden="false" customHeight="false" outlineLevel="0" collapsed="false">
      <c r="F44" s="75"/>
    </row>
    <row r="45" customFormat="false" ht="12" hidden="false" customHeight="true" outlineLevel="0" collapsed="false">
      <c r="A45" s="4"/>
      <c r="B45" s="4"/>
      <c r="C45" s="4"/>
      <c r="D45" s="4"/>
      <c r="E45" s="4"/>
      <c r="F45" s="4"/>
      <c r="G45" s="4"/>
      <c r="H45" s="4"/>
    </row>
    <row r="46" customFormat="false" ht="24" hidden="false" customHeight="true" outlineLevel="0" collapsed="false">
      <c r="A46" s="5" t="s">
        <v>129</v>
      </c>
      <c r="B46" s="5"/>
      <c r="C46" s="5"/>
      <c r="D46" s="5"/>
      <c r="E46" s="5"/>
      <c r="F46" s="5"/>
      <c r="G46" s="5"/>
      <c r="H46" s="5"/>
    </row>
    <row r="47" customFormat="false" ht="21.75" hidden="false" customHeight="true" outlineLevel="0" collapsed="false">
      <c r="A47" s="8"/>
      <c r="B47" s="76" t="s">
        <v>130</v>
      </c>
      <c r="C47" s="76"/>
      <c r="D47" s="76"/>
      <c r="E47" s="76"/>
      <c r="F47" s="76"/>
      <c r="G47" s="76"/>
      <c r="H47" s="8"/>
    </row>
    <row r="48" customFormat="false" ht="6" hidden="false" customHeight="true" outlineLevel="0" collapsed="false">
      <c r="A48" s="4"/>
      <c r="B48" s="4"/>
      <c r="C48" s="4"/>
      <c r="D48" s="4"/>
      <c r="E48" s="4"/>
      <c r="F48" s="4"/>
      <c r="G48" s="4"/>
      <c r="H48" s="4"/>
    </row>
    <row r="49" customFormat="false" ht="21.75" hidden="false" customHeight="true" outlineLevel="0" collapsed="false">
      <c r="A49" s="4"/>
      <c r="B49" s="77" t="s">
        <v>131</v>
      </c>
      <c r="C49" s="4"/>
      <c r="D49" s="4"/>
      <c r="E49" s="4"/>
      <c r="F49" s="4"/>
      <c r="G49" s="4"/>
      <c r="H49" s="4"/>
    </row>
    <row r="50" customFormat="false" ht="27.75" hidden="false" customHeight="true" outlineLevel="0" collapsed="false">
      <c r="A50" s="4"/>
      <c r="B50" s="78" t="s">
        <v>132</v>
      </c>
      <c r="C50" s="78"/>
      <c r="D50" s="78"/>
      <c r="E50" s="78"/>
      <c r="F50" s="78"/>
      <c r="G50" s="78"/>
      <c r="H50" s="4"/>
    </row>
    <row r="51" customFormat="false" ht="21.75" hidden="false" customHeight="true" outlineLevel="0" collapsed="false">
      <c r="A51" s="8"/>
      <c r="B51" s="79" t="s">
        <v>133</v>
      </c>
      <c r="C51" s="8"/>
      <c r="D51" s="8"/>
      <c r="E51" s="8"/>
      <c r="F51" s="8"/>
      <c r="G51" s="8"/>
      <c r="H51" s="8"/>
    </row>
    <row r="52" customFormat="false" ht="27.75" hidden="false" customHeight="true" outlineLevel="0" collapsed="false">
      <c r="A52" s="8"/>
      <c r="B52" s="80" t="s">
        <v>134</v>
      </c>
      <c r="C52" s="80"/>
      <c r="D52" s="80"/>
      <c r="E52" s="80"/>
      <c r="F52" s="80"/>
      <c r="G52" s="80"/>
      <c r="H52" s="8"/>
    </row>
    <row r="53" customFormat="false" ht="21.75" hidden="false" customHeight="true" outlineLevel="0" collapsed="false">
      <c r="A53" s="4"/>
      <c r="B53" s="77" t="s">
        <v>135</v>
      </c>
      <c r="C53" s="4"/>
      <c r="D53" s="4"/>
      <c r="E53" s="4"/>
      <c r="F53" s="4"/>
      <c r="G53" s="4"/>
      <c r="H53" s="4"/>
    </row>
    <row r="54" customFormat="false" ht="27.75" hidden="false" customHeight="true" outlineLevel="0" collapsed="false">
      <c r="A54" s="4"/>
      <c r="B54" s="78" t="s">
        <v>136</v>
      </c>
      <c r="C54" s="78"/>
      <c r="D54" s="78"/>
      <c r="E54" s="78"/>
      <c r="F54" s="78"/>
      <c r="G54" s="78"/>
      <c r="H54" s="4"/>
    </row>
    <row r="55" customFormat="false" ht="21.75" hidden="false" customHeight="true" outlineLevel="0" collapsed="false">
      <c r="A55" s="8"/>
      <c r="B55" s="79" t="s">
        <v>137</v>
      </c>
      <c r="C55" s="8"/>
      <c r="D55" s="8"/>
      <c r="E55" s="8"/>
      <c r="F55" s="8"/>
      <c r="G55" s="8"/>
      <c r="H55" s="8"/>
    </row>
    <row r="56" customFormat="false" ht="27.75" hidden="false" customHeight="true" outlineLevel="0" collapsed="false">
      <c r="A56" s="8"/>
      <c r="B56" s="80" t="s">
        <v>138</v>
      </c>
      <c r="C56" s="80"/>
      <c r="D56" s="80"/>
      <c r="E56" s="80"/>
      <c r="F56" s="80"/>
      <c r="G56" s="80"/>
      <c r="H56" s="8"/>
    </row>
    <row r="57" customFormat="false" ht="21.75" hidden="false" customHeight="true" outlineLevel="0" collapsed="false">
      <c r="A57" s="34" t="s">
        <v>139</v>
      </c>
      <c r="B57" s="34"/>
      <c r="C57" s="34"/>
      <c r="D57" s="34"/>
      <c r="E57" s="34"/>
      <c r="F57" s="34"/>
      <c r="G57" s="34"/>
      <c r="H57" s="34"/>
    </row>
  </sheetData>
  <mergeCells count="13">
    <mergeCell ref="A2:H2"/>
    <mergeCell ref="A3:H3"/>
    <mergeCell ref="A6:H6"/>
    <mergeCell ref="B7:G7"/>
    <mergeCell ref="A25:H25"/>
    <mergeCell ref="B26:G26"/>
    <mergeCell ref="A46:H46"/>
    <mergeCell ref="B47:G47"/>
    <mergeCell ref="B50:G50"/>
    <mergeCell ref="B52:G52"/>
    <mergeCell ref="B54:G54"/>
    <mergeCell ref="B56:G56"/>
    <mergeCell ref="A57:H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95C"/>
    <pageSetUpPr fitToPage="false"/>
  </sheetPr>
  <dimension ref="A1:H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6" min="3" style="0" width="16"/>
    <col collapsed="false" customWidth="true" hidden="false" outlineLevel="0" max="7" min="7" style="0" width="6"/>
    <col collapsed="false" customWidth="true" hidden="false" outlineLevel="0" max="8" min="8" style="0" width="3"/>
  </cols>
  <sheetData>
    <row r="1" customFormat="false" ht="6" hidden="false" customHeight="true" outlineLevel="0" collapsed="false">
      <c r="A1" s="22"/>
      <c r="B1" s="22"/>
      <c r="C1" s="22"/>
      <c r="D1" s="22"/>
      <c r="E1" s="22"/>
      <c r="F1" s="22"/>
      <c r="G1" s="22"/>
      <c r="H1" s="22"/>
    </row>
    <row r="2" customFormat="false" ht="48" hidden="false" customHeight="true" outlineLevel="0" collapsed="false">
      <c r="A2" s="81" t="s">
        <v>140</v>
      </c>
      <c r="B2" s="81"/>
      <c r="C2" s="81"/>
      <c r="D2" s="81"/>
      <c r="E2" s="81"/>
      <c r="F2" s="81"/>
      <c r="G2" s="81"/>
      <c r="H2" s="81"/>
    </row>
    <row r="3" customFormat="false" ht="25.5" hidden="false" customHeight="true" outlineLevel="0" collapsed="false">
      <c r="A3" s="82" t="s">
        <v>141</v>
      </c>
      <c r="B3" s="82"/>
      <c r="C3" s="82"/>
      <c r="D3" s="82"/>
      <c r="E3" s="82"/>
      <c r="F3" s="82"/>
      <c r="G3" s="82"/>
      <c r="H3" s="82"/>
    </row>
    <row r="4" customFormat="false" ht="6" hidden="false" customHeight="true" outlineLevel="0" collapsed="false">
      <c r="A4" s="22"/>
      <c r="B4" s="22"/>
      <c r="C4" s="22"/>
      <c r="D4" s="22"/>
      <c r="E4" s="22"/>
      <c r="F4" s="22"/>
      <c r="G4" s="22"/>
      <c r="H4" s="22"/>
    </row>
    <row r="5" customFormat="false" ht="9.75" hidden="false" customHeight="tru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24" hidden="false" customHeight="true" outlineLevel="0" collapsed="false">
      <c r="A6" s="83" t="s">
        <v>142</v>
      </c>
      <c r="B6" s="83"/>
      <c r="C6" s="83"/>
      <c r="D6" s="83"/>
      <c r="E6" s="83"/>
      <c r="F6" s="83"/>
      <c r="G6" s="83"/>
      <c r="H6" s="83"/>
    </row>
    <row r="7" customFormat="false" ht="25.5" hidden="false" customHeight="true" outlineLevel="0" collapsed="false">
      <c r="A7" s="38"/>
      <c r="B7" s="40" t="s">
        <v>143</v>
      </c>
      <c r="C7" s="38"/>
      <c r="D7" s="38"/>
      <c r="E7" s="38"/>
      <c r="F7" s="38"/>
      <c r="G7" s="38"/>
      <c r="H7" s="38"/>
    </row>
    <row r="8" customFormat="false" ht="15" hidden="false" customHeight="false" outlineLevel="0" collapsed="false">
      <c r="C8" s="40" t="s">
        <v>46</v>
      </c>
    </row>
    <row r="9" customFormat="false" ht="15" hidden="false" customHeight="false" outlineLevel="0" collapsed="false">
      <c r="D9" s="40" t="s">
        <v>47</v>
      </c>
    </row>
    <row r="10" customFormat="false" ht="15" hidden="false" customHeight="false" outlineLevel="0" collapsed="false">
      <c r="E10" s="40" t="s">
        <v>48</v>
      </c>
    </row>
    <row r="11" customFormat="false" ht="15" hidden="false" customHeight="false" outlineLevel="0" collapsed="false">
      <c r="F11" s="40" t="s">
        <v>144</v>
      </c>
    </row>
    <row r="12" customFormat="false" ht="25.5" hidden="false" customHeight="true" outlineLevel="0" collapsed="false">
      <c r="A12" s="4"/>
      <c r="B12" s="42" t="s">
        <v>145</v>
      </c>
      <c r="C12" s="43"/>
      <c r="D12" s="43"/>
      <c r="E12" s="44" t="n">
        <f aca="false">IFERROR(C12+D12,0)</f>
        <v>0</v>
      </c>
      <c r="F12" s="84" t="s">
        <v>146</v>
      </c>
      <c r="G12" s="4"/>
      <c r="H12" s="4"/>
    </row>
    <row r="13" customFormat="false" ht="25.5" hidden="false" customHeight="true" outlineLevel="0" collapsed="false">
      <c r="A13" s="85"/>
      <c r="B13" s="86" t="s">
        <v>147</v>
      </c>
      <c r="C13" s="43"/>
      <c r="D13" s="43"/>
      <c r="E13" s="87" t="n">
        <f aca="false">IFERROR(C13+D13,0)</f>
        <v>0</v>
      </c>
      <c r="F13" s="88" t="s">
        <v>146</v>
      </c>
      <c r="G13" s="85"/>
      <c r="H13" s="85"/>
    </row>
    <row r="14" customFormat="false" ht="25.5" hidden="false" customHeight="true" outlineLevel="0" collapsed="false">
      <c r="A14" s="4"/>
      <c r="B14" s="42" t="s">
        <v>148</v>
      </c>
      <c r="C14" s="43"/>
      <c r="D14" s="43"/>
      <c r="E14" s="44" t="n">
        <f aca="false">IFERROR(C14+D14,0)</f>
        <v>0</v>
      </c>
      <c r="F14" s="84" t="s">
        <v>146</v>
      </c>
      <c r="G14" s="4"/>
      <c r="H14" s="4"/>
    </row>
    <row r="15" customFormat="false" ht="25.5" hidden="false" customHeight="true" outlineLevel="0" collapsed="false">
      <c r="A15" s="85"/>
      <c r="B15" s="86" t="s">
        <v>52</v>
      </c>
      <c r="C15" s="43"/>
      <c r="D15" s="43"/>
      <c r="E15" s="87" t="n">
        <f aca="false">IFERROR(C15+D15,0)</f>
        <v>0</v>
      </c>
      <c r="F15" s="88" t="s">
        <v>146</v>
      </c>
      <c r="G15" s="85"/>
      <c r="H15" s="85"/>
    </row>
    <row r="16" customFormat="false" ht="27.75" hidden="false" customHeight="true" outlineLevel="0" collapsed="false">
      <c r="A16" s="1"/>
      <c r="B16" s="89" t="s">
        <v>149</v>
      </c>
      <c r="C16" s="90" t="n">
        <f aca="false">SUM(C12:C15)</f>
        <v>0</v>
      </c>
      <c r="D16" s="90" t="n">
        <f aca="false">SUM(D12:D15)</f>
        <v>0</v>
      </c>
      <c r="E16" s="90" t="n">
        <f aca="false">SUM(E12:E15)</f>
        <v>0</v>
      </c>
      <c r="F16" s="1"/>
      <c r="G16" s="1"/>
      <c r="H16" s="1"/>
    </row>
    <row r="17" customFormat="false" ht="9.75" hidden="false" customHeight="true" outlineLevel="0" collapsed="false">
      <c r="A17" s="4"/>
      <c r="B17" s="4"/>
      <c r="C17" s="4"/>
      <c r="D17" s="4"/>
      <c r="E17" s="4"/>
      <c r="F17" s="4"/>
      <c r="G17" s="4"/>
      <c r="H17" s="4"/>
    </row>
    <row r="18" customFormat="false" ht="24" hidden="false" customHeight="true" outlineLevel="0" collapsed="false">
      <c r="A18" s="23" t="s">
        <v>150</v>
      </c>
      <c r="B18" s="23"/>
      <c r="C18" s="23"/>
      <c r="D18" s="23"/>
      <c r="E18" s="23"/>
      <c r="F18" s="23"/>
      <c r="G18" s="23"/>
      <c r="H18" s="23"/>
    </row>
    <row r="19" customFormat="false" ht="21.75" hidden="false" customHeight="true" outlineLevel="0" collapsed="false">
      <c r="A19" s="85"/>
      <c r="B19" s="91" t="s">
        <v>151</v>
      </c>
      <c r="C19" s="91"/>
      <c r="D19" s="91"/>
      <c r="E19" s="91"/>
      <c r="F19" s="91"/>
      <c r="G19" s="91"/>
      <c r="H19" s="85"/>
    </row>
    <row r="20" customFormat="false" ht="6" hidden="false" customHeight="tru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25.5" hidden="false" customHeight="true" outlineLevel="0" collapsed="false">
      <c r="A21" s="38"/>
      <c r="B21" s="40" t="s">
        <v>45</v>
      </c>
      <c r="C21" s="38"/>
      <c r="D21" s="38"/>
      <c r="E21" s="38"/>
      <c r="F21" s="38"/>
      <c r="G21" s="38"/>
      <c r="H21" s="38"/>
    </row>
    <row r="22" customFormat="false" ht="15" hidden="false" customHeight="false" outlineLevel="0" collapsed="false">
      <c r="C22" s="40" t="s">
        <v>152</v>
      </c>
    </row>
    <row r="23" customFormat="false" ht="15" hidden="false" customHeight="false" outlineLevel="0" collapsed="false">
      <c r="D23" s="40" t="s">
        <v>153</v>
      </c>
    </row>
    <row r="24" customFormat="false" ht="15" hidden="false" customHeight="false" outlineLevel="0" collapsed="false">
      <c r="E24" s="40" t="s">
        <v>154</v>
      </c>
    </row>
    <row r="25" customFormat="false" ht="15" hidden="false" customHeight="false" outlineLevel="0" collapsed="false">
      <c r="F25" s="40" t="s">
        <v>155</v>
      </c>
    </row>
    <row r="26" customFormat="false" ht="21.75" hidden="false" customHeight="true" outlineLevel="0" collapsed="false">
      <c r="A26" s="22"/>
      <c r="B26" s="92" t="s">
        <v>156</v>
      </c>
      <c r="C26" s="92"/>
      <c r="D26" s="92"/>
      <c r="E26" s="92"/>
      <c r="F26" s="92"/>
      <c r="G26" s="92"/>
      <c r="H26" s="22"/>
    </row>
    <row r="27" customFormat="false" ht="24" hidden="false" customHeight="true" outlineLevel="0" collapsed="false">
      <c r="A27" s="4"/>
      <c r="B27" s="42" t="s">
        <v>54</v>
      </c>
      <c r="C27" s="43" t="n">
        <v>1800</v>
      </c>
      <c r="D27" s="93" t="s">
        <v>157</v>
      </c>
      <c r="E27" s="84" t="s">
        <v>158</v>
      </c>
      <c r="F27" s="4"/>
      <c r="G27" s="4"/>
      <c r="H27" s="4"/>
    </row>
    <row r="28" customFormat="false" ht="24" hidden="false" customHeight="true" outlineLevel="0" collapsed="false">
      <c r="A28" s="85"/>
      <c r="B28" s="86" t="s">
        <v>159</v>
      </c>
      <c r="C28" s="43" t="n">
        <v>150</v>
      </c>
      <c r="D28" s="94" t="s">
        <v>157</v>
      </c>
      <c r="E28" s="88" t="s">
        <v>158</v>
      </c>
      <c r="F28" s="85"/>
      <c r="G28" s="85"/>
      <c r="H28" s="85"/>
    </row>
    <row r="29" customFormat="false" ht="24" hidden="false" customHeight="true" outlineLevel="0" collapsed="false">
      <c r="A29" s="4"/>
      <c r="B29" s="42" t="s">
        <v>160</v>
      </c>
      <c r="C29" s="43" t="n">
        <v>100</v>
      </c>
      <c r="D29" s="93" t="s">
        <v>161</v>
      </c>
      <c r="E29" s="84" t="s">
        <v>162</v>
      </c>
      <c r="F29" s="4"/>
      <c r="G29" s="4"/>
      <c r="H29" s="4"/>
    </row>
    <row r="30" customFormat="false" ht="24" hidden="false" customHeight="true" outlineLevel="0" collapsed="false">
      <c r="A30" s="85"/>
      <c r="B30" s="86" t="s">
        <v>163</v>
      </c>
      <c r="C30" s="43" t="n">
        <v>50</v>
      </c>
      <c r="D30" s="94"/>
      <c r="E30" s="88"/>
      <c r="F30" s="85"/>
      <c r="G30" s="85"/>
      <c r="H30" s="85"/>
    </row>
    <row r="31" customFormat="false" ht="21.75" hidden="false" customHeight="true" outlineLevel="0" collapsed="false">
      <c r="A31" s="31"/>
      <c r="B31" s="32" t="s">
        <v>164</v>
      </c>
      <c r="C31" s="95" t="n">
        <f aca="false">SUM(C27:C30)</f>
        <v>2100</v>
      </c>
      <c r="D31" s="31"/>
      <c r="E31" s="31"/>
      <c r="F31" s="31"/>
      <c r="G31" s="31"/>
      <c r="H31" s="31"/>
    </row>
    <row r="32" customFormat="false" ht="3.75" hidden="false" customHeight="true" outlineLevel="0" collapsed="false">
      <c r="A32" s="4"/>
      <c r="B32" s="4"/>
      <c r="C32" s="4"/>
      <c r="D32" s="4"/>
      <c r="E32" s="4"/>
      <c r="F32" s="4"/>
      <c r="G32" s="4"/>
      <c r="H32" s="4"/>
    </row>
    <row r="33" customFormat="false" ht="21.75" hidden="false" customHeight="true" outlineLevel="0" collapsed="false">
      <c r="A33" s="16"/>
      <c r="B33" s="41" t="s">
        <v>165</v>
      </c>
      <c r="C33" s="41"/>
      <c r="D33" s="41"/>
      <c r="E33" s="41"/>
      <c r="F33" s="41"/>
      <c r="G33" s="41"/>
      <c r="H33" s="16"/>
    </row>
    <row r="34" customFormat="false" ht="24" hidden="false" customHeight="true" outlineLevel="0" collapsed="false">
      <c r="A34" s="4"/>
      <c r="B34" s="42" t="s">
        <v>56</v>
      </c>
      <c r="C34" s="43" t="n">
        <v>500</v>
      </c>
      <c r="D34" s="93" t="s">
        <v>157</v>
      </c>
      <c r="E34" s="84" t="s">
        <v>158</v>
      </c>
      <c r="F34" s="4"/>
      <c r="G34" s="4"/>
      <c r="H34" s="4"/>
    </row>
    <row r="35" customFormat="false" ht="24" hidden="false" customHeight="true" outlineLevel="0" collapsed="false">
      <c r="A35" s="85"/>
      <c r="B35" s="86" t="s">
        <v>166</v>
      </c>
      <c r="C35" s="43" t="n">
        <v>200</v>
      </c>
      <c r="D35" s="94" t="s">
        <v>157</v>
      </c>
      <c r="E35" s="88" t="s">
        <v>158</v>
      </c>
      <c r="F35" s="85"/>
      <c r="G35" s="85"/>
      <c r="H35" s="85"/>
    </row>
    <row r="36" customFormat="false" ht="24" hidden="false" customHeight="true" outlineLevel="0" collapsed="false">
      <c r="A36" s="4"/>
      <c r="B36" s="42" t="s">
        <v>167</v>
      </c>
      <c r="C36" s="96"/>
      <c r="D36" s="93" t="s">
        <v>168</v>
      </c>
      <c r="E36" s="84" t="s">
        <v>169</v>
      </c>
      <c r="F36" s="4"/>
      <c r="G36" s="4"/>
      <c r="H36" s="4"/>
    </row>
    <row r="37" customFormat="false" ht="21.75" hidden="false" customHeight="true" outlineLevel="0" collapsed="false">
      <c r="A37" s="31"/>
      <c r="B37" s="32" t="s">
        <v>164</v>
      </c>
      <c r="C37" s="95" t="n">
        <f aca="false">SUM(C34:C36)</f>
        <v>700</v>
      </c>
      <c r="D37" s="31"/>
      <c r="E37" s="31"/>
      <c r="F37" s="31"/>
      <c r="G37" s="31"/>
      <c r="H37" s="31"/>
    </row>
    <row r="38" customFormat="false" ht="3.75" hidden="false" customHeight="true" outlineLevel="0" collapsed="false">
      <c r="A38" s="4"/>
      <c r="B38" s="4"/>
      <c r="C38" s="4"/>
      <c r="D38" s="4"/>
      <c r="E38" s="4"/>
      <c r="F38" s="4"/>
      <c r="G38" s="4"/>
      <c r="H38" s="4"/>
    </row>
    <row r="39" customFormat="false" ht="21.75" hidden="false" customHeight="true" outlineLevel="0" collapsed="false">
      <c r="A39" s="47"/>
      <c r="B39" s="48" t="s">
        <v>170</v>
      </c>
      <c r="C39" s="48"/>
      <c r="D39" s="48"/>
      <c r="E39" s="48"/>
      <c r="F39" s="48"/>
      <c r="G39" s="48"/>
      <c r="H39" s="47"/>
    </row>
    <row r="40" customFormat="false" ht="24" hidden="false" customHeight="true" outlineLevel="0" collapsed="false">
      <c r="A40" s="4"/>
      <c r="B40" s="42" t="s">
        <v>171</v>
      </c>
      <c r="C40" s="43" t="n">
        <v>200</v>
      </c>
      <c r="D40" s="93" t="s">
        <v>168</v>
      </c>
      <c r="E40" s="84" t="s">
        <v>169</v>
      </c>
      <c r="F40" s="4"/>
      <c r="G40" s="4"/>
      <c r="H40" s="4"/>
    </row>
    <row r="41" customFormat="false" ht="24" hidden="false" customHeight="true" outlineLevel="0" collapsed="false">
      <c r="A41" s="85"/>
      <c r="B41" s="86" t="s">
        <v>172</v>
      </c>
      <c r="C41" s="43" t="n">
        <v>250</v>
      </c>
      <c r="D41" s="94" t="s">
        <v>157</v>
      </c>
      <c r="E41" s="88" t="s">
        <v>158</v>
      </c>
      <c r="F41" s="85"/>
      <c r="G41" s="85"/>
      <c r="H41" s="85"/>
    </row>
    <row r="42" customFormat="false" ht="24" hidden="false" customHeight="true" outlineLevel="0" collapsed="false">
      <c r="A42" s="4"/>
      <c r="B42" s="42" t="s">
        <v>173</v>
      </c>
      <c r="C42" s="43" t="n">
        <v>100</v>
      </c>
      <c r="D42" s="93" t="s">
        <v>168</v>
      </c>
      <c r="E42" s="84" t="s">
        <v>169</v>
      </c>
      <c r="F42" s="4"/>
      <c r="G42" s="4"/>
      <c r="H42" s="4"/>
    </row>
    <row r="43" customFormat="false" ht="21.75" hidden="false" customHeight="true" outlineLevel="0" collapsed="false">
      <c r="A43" s="31"/>
      <c r="B43" s="32" t="s">
        <v>164</v>
      </c>
      <c r="C43" s="95" t="n">
        <f aca="false">SUM(C40:C42)</f>
        <v>550</v>
      </c>
      <c r="D43" s="31"/>
      <c r="E43" s="31"/>
      <c r="F43" s="31"/>
      <c r="G43" s="31"/>
      <c r="H43" s="31"/>
    </row>
    <row r="44" customFormat="false" ht="3.75" hidden="false" customHeight="true" outlineLevel="0" collapsed="false">
      <c r="A44" s="4"/>
      <c r="B44" s="4"/>
      <c r="C44" s="4"/>
      <c r="D44" s="4"/>
      <c r="E44" s="4"/>
      <c r="F44" s="4"/>
      <c r="G44" s="4"/>
      <c r="H44" s="4"/>
    </row>
    <row r="45" customFormat="false" ht="21.75" hidden="false" customHeight="true" outlineLevel="0" collapsed="false">
      <c r="A45" s="19"/>
      <c r="B45" s="49" t="s">
        <v>174</v>
      </c>
      <c r="C45" s="49"/>
      <c r="D45" s="49"/>
      <c r="E45" s="49"/>
      <c r="F45" s="49"/>
      <c r="G45" s="49"/>
      <c r="H45" s="19"/>
    </row>
    <row r="46" customFormat="false" ht="24" hidden="false" customHeight="true" outlineLevel="0" collapsed="false">
      <c r="A46" s="4"/>
      <c r="B46" s="42" t="s">
        <v>175</v>
      </c>
      <c r="C46" s="43" t="n">
        <v>300</v>
      </c>
      <c r="D46" s="93" t="s">
        <v>176</v>
      </c>
      <c r="E46" s="84" t="s">
        <v>177</v>
      </c>
      <c r="F46" s="4"/>
      <c r="G46" s="4"/>
      <c r="H46" s="4"/>
    </row>
    <row r="47" customFormat="false" ht="24" hidden="false" customHeight="true" outlineLevel="0" collapsed="false">
      <c r="A47" s="85"/>
      <c r="B47" s="86" t="s">
        <v>178</v>
      </c>
      <c r="C47" s="43" t="n">
        <v>200</v>
      </c>
      <c r="D47" s="94" t="s">
        <v>176</v>
      </c>
      <c r="E47" s="88" t="s">
        <v>179</v>
      </c>
      <c r="F47" s="85"/>
      <c r="G47" s="85"/>
      <c r="H47" s="85"/>
    </row>
    <row r="48" customFormat="false" ht="24" hidden="false" customHeight="true" outlineLevel="0" collapsed="false">
      <c r="A48" s="4"/>
      <c r="B48" s="42" t="s">
        <v>180</v>
      </c>
      <c r="C48" s="43" t="n">
        <v>100</v>
      </c>
      <c r="D48" s="93" t="s">
        <v>176</v>
      </c>
      <c r="E48" s="84" t="s">
        <v>179</v>
      </c>
      <c r="F48" s="4"/>
      <c r="G48" s="4"/>
      <c r="H48" s="4"/>
    </row>
    <row r="49" customFormat="false" ht="24" hidden="false" customHeight="true" outlineLevel="0" collapsed="false">
      <c r="A49" s="85"/>
      <c r="B49" s="86" t="s">
        <v>181</v>
      </c>
      <c r="C49" s="97"/>
      <c r="D49" s="94" t="s">
        <v>182</v>
      </c>
      <c r="E49" s="88" t="s">
        <v>183</v>
      </c>
      <c r="F49" s="85"/>
      <c r="G49" s="85"/>
      <c r="H49" s="85"/>
    </row>
    <row r="50" customFormat="false" ht="21.75" hidden="false" customHeight="true" outlineLevel="0" collapsed="false">
      <c r="A50" s="31"/>
      <c r="B50" s="32" t="s">
        <v>164</v>
      </c>
      <c r="C50" s="95" t="n">
        <f aca="false">SUM(C46:C49)</f>
        <v>600</v>
      </c>
      <c r="D50" s="31"/>
      <c r="E50" s="31"/>
      <c r="F50" s="31"/>
      <c r="G50" s="31"/>
      <c r="H50" s="31"/>
    </row>
    <row r="51" customFormat="false" ht="3.75" hidden="false" customHeight="true" outlineLevel="0" collapsed="false">
      <c r="A51" s="4"/>
      <c r="B51" s="4"/>
      <c r="C51" s="4"/>
      <c r="D51" s="4"/>
      <c r="E51" s="4"/>
      <c r="F51" s="4"/>
      <c r="G51" s="4"/>
      <c r="H51" s="4"/>
    </row>
    <row r="52" customFormat="false" ht="21.75" hidden="false" customHeight="true" outlineLevel="0" collapsed="false">
      <c r="A52" s="25"/>
      <c r="B52" s="98" t="s">
        <v>184</v>
      </c>
      <c r="C52" s="98"/>
      <c r="D52" s="98"/>
      <c r="E52" s="98"/>
      <c r="F52" s="98"/>
      <c r="G52" s="98"/>
      <c r="H52" s="25"/>
    </row>
    <row r="53" customFormat="false" ht="24" hidden="false" customHeight="true" outlineLevel="0" collapsed="false">
      <c r="A53" s="4"/>
      <c r="B53" s="42" t="s">
        <v>185</v>
      </c>
      <c r="C53" s="96"/>
      <c r="D53" s="93" t="s">
        <v>161</v>
      </c>
      <c r="E53" s="84" t="s">
        <v>162</v>
      </c>
      <c r="F53" s="4"/>
      <c r="G53" s="4"/>
      <c r="H53" s="4"/>
    </row>
    <row r="54" customFormat="false" ht="24" hidden="false" customHeight="true" outlineLevel="0" collapsed="false">
      <c r="A54" s="85"/>
      <c r="B54" s="86" t="s">
        <v>186</v>
      </c>
      <c r="C54" s="97"/>
      <c r="D54" s="94" t="s">
        <v>187</v>
      </c>
      <c r="E54" s="88" t="s">
        <v>188</v>
      </c>
      <c r="F54" s="85"/>
      <c r="G54" s="85"/>
      <c r="H54" s="85"/>
    </row>
    <row r="55" customFormat="false" ht="24" hidden="false" customHeight="true" outlineLevel="0" collapsed="false">
      <c r="A55" s="4"/>
      <c r="B55" s="42" t="s">
        <v>189</v>
      </c>
      <c r="C55" s="43" t="n">
        <v>150</v>
      </c>
      <c r="D55" s="93" t="s">
        <v>157</v>
      </c>
      <c r="E55" s="84" t="s">
        <v>158</v>
      </c>
      <c r="F55" s="4"/>
      <c r="G55" s="4"/>
      <c r="H55" s="4"/>
    </row>
    <row r="56" customFormat="false" ht="21.75" hidden="false" customHeight="true" outlineLevel="0" collapsed="false">
      <c r="A56" s="31"/>
      <c r="B56" s="32" t="s">
        <v>164</v>
      </c>
      <c r="C56" s="95" t="n">
        <f aca="false">SUM(C53:C55)</f>
        <v>150</v>
      </c>
      <c r="D56" s="31"/>
      <c r="E56" s="31"/>
      <c r="F56" s="31"/>
      <c r="G56" s="31"/>
      <c r="H56" s="31"/>
    </row>
    <row r="57" customFormat="false" ht="3.75" hidden="false" customHeight="true" outlineLevel="0" collapsed="false">
      <c r="A57" s="4"/>
      <c r="B57" s="4"/>
      <c r="C57" s="4"/>
      <c r="D57" s="4"/>
      <c r="E57" s="4"/>
      <c r="F57" s="4"/>
      <c r="G57" s="4"/>
      <c r="H57" s="4"/>
    </row>
    <row r="58" customFormat="false" ht="21.75" hidden="false" customHeight="true" outlineLevel="0" collapsed="false">
      <c r="A58" s="50"/>
      <c r="B58" s="51" t="s">
        <v>190</v>
      </c>
      <c r="C58" s="51"/>
      <c r="D58" s="51"/>
      <c r="E58" s="51"/>
      <c r="F58" s="51"/>
      <c r="G58" s="51"/>
      <c r="H58" s="50"/>
    </row>
    <row r="59" customFormat="false" ht="24" hidden="false" customHeight="true" outlineLevel="0" collapsed="false">
      <c r="A59" s="4"/>
      <c r="B59" s="42" t="s">
        <v>191</v>
      </c>
      <c r="C59" s="96"/>
      <c r="D59" s="93" t="s">
        <v>157</v>
      </c>
      <c r="E59" s="84" t="s">
        <v>158</v>
      </c>
      <c r="F59" s="4"/>
      <c r="G59" s="4"/>
      <c r="H59" s="4"/>
    </row>
    <row r="60" customFormat="false" ht="24" hidden="false" customHeight="true" outlineLevel="0" collapsed="false">
      <c r="A60" s="85"/>
      <c r="B60" s="86" t="s">
        <v>192</v>
      </c>
      <c r="C60" s="97"/>
      <c r="D60" s="94" t="s">
        <v>161</v>
      </c>
      <c r="E60" s="88" t="s">
        <v>162</v>
      </c>
      <c r="F60" s="85"/>
      <c r="G60" s="85"/>
      <c r="H60" s="85"/>
    </row>
    <row r="61" customFormat="false" ht="24" hidden="false" customHeight="true" outlineLevel="0" collapsed="false">
      <c r="A61" s="4"/>
      <c r="B61" s="42" t="s">
        <v>193</v>
      </c>
      <c r="C61" s="96"/>
      <c r="D61" s="93" t="s">
        <v>187</v>
      </c>
      <c r="E61" s="84" t="s">
        <v>188</v>
      </c>
      <c r="F61" s="4"/>
      <c r="G61" s="4"/>
      <c r="H61" s="4"/>
    </row>
    <row r="62" customFormat="false" ht="21.75" hidden="false" customHeight="true" outlineLevel="0" collapsed="false">
      <c r="A62" s="31"/>
      <c r="B62" s="32" t="s">
        <v>164</v>
      </c>
      <c r="C62" s="95" t="n">
        <f aca="false">SUM(C59:C61)</f>
        <v>0</v>
      </c>
      <c r="D62" s="31"/>
      <c r="E62" s="31"/>
      <c r="F62" s="31"/>
      <c r="G62" s="31"/>
      <c r="H62" s="31"/>
    </row>
    <row r="63" customFormat="false" ht="3.75" hidden="false" customHeight="true" outlineLevel="0" collapsed="false">
      <c r="A63" s="4"/>
      <c r="B63" s="4"/>
      <c r="C63" s="4"/>
      <c r="D63" s="4"/>
      <c r="E63" s="4"/>
      <c r="F63" s="4"/>
      <c r="G63" s="4"/>
      <c r="H63" s="4"/>
    </row>
    <row r="64" customFormat="false" ht="27.75" hidden="false" customHeight="true" outlineLevel="0" collapsed="false">
      <c r="A64" s="1"/>
      <c r="B64" s="89" t="s">
        <v>194</v>
      </c>
      <c r="C64" s="90" t="n">
        <f aca="false">C31+C37+C43+C50+C56+C62</f>
        <v>4100</v>
      </c>
      <c r="D64" s="1"/>
      <c r="E64" s="1"/>
      <c r="F64" s="1"/>
      <c r="G64" s="1"/>
      <c r="H64" s="1"/>
    </row>
    <row r="65" customFormat="false" ht="30" hidden="false" customHeight="true" outlineLevel="0" collapsed="false">
      <c r="A65" s="85"/>
      <c r="B65" s="99" t="s">
        <v>195</v>
      </c>
      <c r="C65" s="100" t="n">
        <f aca="false">E16-C64</f>
        <v>-4100</v>
      </c>
      <c r="D65" s="101" t="s">
        <v>196</v>
      </c>
      <c r="E65" s="101"/>
      <c r="F65" s="101"/>
      <c r="G65" s="101"/>
      <c r="H65" s="85"/>
    </row>
    <row r="66" customFormat="false" ht="9.75" hidden="false" customHeight="true" outlineLevel="0" collapsed="false">
      <c r="A66" s="4"/>
      <c r="B66" s="4"/>
      <c r="C66" s="4"/>
      <c r="D66" s="4"/>
      <c r="E66" s="4"/>
      <c r="F66" s="4"/>
      <c r="G66" s="4"/>
      <c r="H66" s="4"/>
    </row>
    <row r="67" customFormat="false" ht="24" hidden="false" customHeight="true" outlineLevel="0" collapsed="false">
      <c r="A67" s="5" t="s">
        <v>197</v>
      </c>
      <c r="B67" s="5"/>
      <c r="C67" s="5"/>
      <c r="D67" s="5"/>
      <c r="E67" s="5"/>
      <c r="F67" s="5"/>
      <c r="G67" s="5"/>
      <c r="H67" s="5"/>
    </row>
    <row r="68" customFormat="false" ht="21.75" hidden="false" customHeight="true" outlineLevel="0" collapsed="false">
      <c r="A68" s="8"/>
      <c r="B68" s="76" t="s">
        <v>198</v>
      </c>
      <c r="C68" s="76"/>
      <c r="D68" s="76"/>
      <c r="E68" s="76"/>
      <c r="F68" s="76"/>
      <c r="G68" s="76"/>
      <c r="H68" s="8"/>
    </row>
    <row r="69" customFormat="false" ht="6" hidden="false" customHeight="true" outlineLevel="0" collapsed="false">
      <c r="A69" s="4"/>
      <c r="B69" s="4"/>
      <c r="C69" s="4"/>
      <c r="D69" s="4"/>
      <c r="E69" s="4"/>
      <c r="F69" s="4"/>
      <c r="G69" s="4"/>
      <c r="H69" s="4"/>
    </row>
    <row r="70" customFormat="false" ht="25.5" hidden="false" customHeight="true" outlineLevel="0" collapsed="false">
      <c r="A70" s="38"/>
      <c r="B70" s="39" t="s">
        <v>199</v>
      </c>
      <c r="C70" s="39" t="s">
        <v>200</v>
      </c>
      <c r="D70" s="102" t="s">
        <v>201</v>
      </c>
      <c r="E70" s="102"/>
      <c r="F70" s="102"/>
      <c r="G70" s="102"/>
      <c r="H70" s="38"/>
    </row>
    <row r="71" customFormat="false" ht="27.75" hidden="false" customHeight="true" outlineLevel="0" collapsed="false">
      <c r="A71" s="4"/>
      <c r="B71" s="103" t="s">
        <v>202</v>
      </c>
      <c r="C71" s="73" t="s">
        <v>203</v>
      </c>
      <c r="D71" s="78" t="s">
        <v>204</v>
      </c>
      <c r="E71" s="78"/>
      <c r="F71" s="78"/>
      <c r="G71" s="78"/>
      <c r="H71" s="4"/>
    </row>
    <row r="72" customFormat="false" ht="27.75" hidden="false" customHeight="true" outlineLevel="0" collapsed="false">
      <c r="A72" s="85"/>
      <c r="B72" s="104" t="s">
        <v>205</v>
      </c>
      <c r="C72" s="105" t="s">
        <v>206</v>
      </c>
      <c r="D72" s="106" t="s">
        <v>207</v>
      </c>
      <c r="E72" s="106"/>
      <c r="F72" s="106"/>
      <c r="G72" s="106"/>
      <c r="H72" s="85"/>
    </row>
    <row r="73" customFormat="false" ht="27.75" hidden="false" customHeight="true" outlineLevel="0" collapsed="false">
      <c r="A73" s="4"/>
      <c r="B73" s="103" t="s">
        <v>208</v>
      </c>
      <c r="C73" s="73" t="s">
        <v>209</v>
      </c>
      <c r="D73" s="78" t="s">
        <v>210</v>
      </c>
      <c r="E73" s="78"/>
      <c r="F73" s="78"/>
      <c r="G73" s="78"/>
      <c r="H73" s="4"/>
    </row>
    <row r="74" customFormat="false" ht="27.75" hidden="false" customHeight="true" outlineLevel="0" collapsed="false">
      <c r="A74" s="85"/>
      <c r="B74" s="104" t="s">
        <v>211</v>
      </c>
      <c r="C74" s="105" t="s">
        <v>212</v>
      </c>
      <c r="D74" s="106" t="s">
        <v>213</v>
      </c>
      <c r="E74" s="106"/>
      <c r="F74" s="106"/>
      <c r="G74" s="106"/>
      <c r="H74" s="85"/>
    </row>
    <row r="75" customFormat="false" ht="27.75" hidden="false" customHeight="true" outlineLevel="0" collapsed="false">
      <c r="A75" s="4"/>
      <c r="B75" s="103" t="s">
        <v>214</v>
      </c>
      <c r="C75" s="73" t="s">
        <v>215</v>
      </c>
      <c r="D75" s="78" t="s">
        <v>216</v>
      </c>
      <c r="E75" s="78"/>
      <c r="F75" s="78"/>
      <c r="G75" s="78"/>
      <c r="H75" s="4"/>
    </row>
    <row r="76" customFormat="false" ht="27.75" hidden="false" customHeight="true" outlineLevel="0" collapsed="false">
      <c r="A76" s="85"/>
      <c r="B76" s="104" t="s">
        <v>217</v>
      </c>
      <c r="C76" s="105" t="s">
        <v>218</v>
      </c>
      <c r="D76" s="106" t="s">
        <v>219</v>
      </c>
      <c r="E76" s="106"/>
      <c r="F76" s="106"/>
      <c r="G76" s="106"/>
      <c r="H76" s="85"/>
    </row>
    <row r="77" customFormat="false" ht="21.75" hidden="false" customHeight="true" outlineLevel="0" collapsed="false">
      <c r="A77" s="34" t="s">
        <v>220</v>
      </c>
      <c r="B77" s="34"/>
      <c r="C77" s="34"/>
      <c r="D77" s="34"/>
      <c r="E77" s="34"/>
      <c r="F77" s="34"/>
      <c r="G77" s="34"/>
      <c r="H77" s="34"/>
    </row>
  </sheetData>
  <mergeCells count="22">
    <mergeCell ref="A2:H2"/>
    <mergeCell ref="A3:H3"/>
    <mergeCell ref="A6:H6"/>
    <mergeCell ref="A18:H18"/>
    <mergeCell ref="B19:G19"/>
    <mergeCell ref="B26:G26"/>
    <mergeCell ref="B33:G33"/>
    <mergeCell ref="B39:G39"/>
    <mergeCell ref="B45:G45"/>
    <mergeCell ref="B52:G52"/>
    <mergeCell ref="B58:G58"/>
    <mergeCell ref="D65:G65"/>
    <mergeCell ref="A67:H67"/>
    <mergeCell ref="B68:G68"/>
    <mergeCell ref="D70:G70"/>
    <mergeCell ref="D71:G71"/>
    <mergeCell ref="D72:G72"/>
    <mergeCell ref="D73:G73"/>
    <mergeCell ref="D74:G74"/>
    <mergeCell ref="D75:G75"/>
    <mergeCell ref="D76:G76"/>
    <mergeCell ref="A77:H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9A"/>
    <pageSetUpPr fitToPage="false"/>
  </sheetPr>
  <dimension ref="A1:H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6"/>
    <col collapsed="false" customWidth="true" hidden="false" outlineLevel="0" max="8" min="8" style="0" width="3"/>
  </cols>
  <sheetData>
    <row r="1" customFormat="false" ht="6" hidden="false" customHeight="true" outlineLevel="0" collapsed="false">
      <c r="A1" s="25"/>
      <c r="B1" s="25"/>
      <c r="C1" s="25"/>
      <c r="D1" s="25"/>
      <c r="E1" s="25"/>
      <c r="F1" s="25"/>
      <c r="G1" s="25"/>
      <c r="H1" s="25"/>
    </row>
    <row r="2" customFormat="false" ht="48" hidden="false" customHeight="true" outlineLevel="0" collapsed="false">
      <c r="A2" s="107" t="s">
        <v>221</v>
      </c>
      <c r="B2" s="107"/>
      <c r="C2" s="107"/>
      <c r="D2" s="107"/>
      <c r="E2" s="107"/>
      <c r="F2" s="107"/>
      <c r="G2" s="107"/>
      <c r="H2" s="107"/>
    </row>
    <row r="3" customFormat="false" ht="25.5" hidden="false" customHeight="true" outlineLevel="0" collapsed="false">
      <c r="A3" s="108" t="s">
        <v>222</v>
      </c>
      <c r="B3" s="108"/>
      <c r="C3" s="108"/>
      <c r="D3" s="108"/>
      <c r="E3" s="108"/>
      <c r="F3" s="108"/>
      <c r="G3" s="108"/>
      <c r="H3" s="108"/>
    </row>
    <row r="4" customFormat="false" ht="6" hidden="false" customHeight="true" outlineLevel="0" collapsed="false">
      <c r="A4" s="25"/>
      <c r="B4" s="25"/>
      <c r="C4" s="25"/>
      <c r="D4" s="25"/>
      <c r="E4" s="25"/>
      <c r="F4" s="25"/>
      <c r="G4" s="25"/>
      <c r="H4" s="25"/>
    </row>
    <row r="5" customFormat="false" ht="9.75" hidden="false" customHeight="tru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24" hidden="false" customHeight="true" outlineLevel="0" collapsed="false">
      <c r="A6" s="26" t="s">
        <v>223</v>
      </c>
      <c r="B6" s="26"/>
      <c r="C6" s="26"/>
      <c r="D6" s="26"/>
      <c r="E6" s="26"/>
      <c r="F6" s="26"/>
      <c r="G6" s="26"/>
      <c r="H6" s="26"/>
    </row>
    <row r="7" customFormat="false" ht="30" hidden="false" customHeight="true" outlineLevel="0" collapsed="false">
      <c r="A7" s="4"/>
      <c r="B7" s="109" t="s">
        <v>224</v>
      </c>
      <c r="C7" s="110" t="s">
        <v>225</v>
      </c>
      <c r="D7" s="110"/>
      <c r="E7" s="110"/>
      <c r="F7" s="110"/>
      <c r="G7" s="110"/>
      <c r="H7" s="4"/>
    </row>
    <row r="8" customFormat="false" ht="30" hidden="false" customHeight="true" outlineLevel="0" collapsed="false">
      <c r="A8" s="111"/>
      <c r="B8" s="112" t="s">
        <v>226</v>
      </c>
      <c r="C8" s="113" t="s">
        <v>227</v>
      </c>
      <c r="D8" s="113"/>
      <c r="E8" s="113"/>
      <c r="F8" s="113"/>
      <c r="G8" s="113"/>
      <c r="H8" s="111"/>
    </row>
    <row r="9" customFormat="false" ht="30" hidden="false" customHeight="true" outlineLevel="0" collapsed="false">
      <c r="A9" s="4"/>
      <c r="B9" s="109" t="s">
        <v>228</v>
      </c>
      <c r="C9" s="110" t="s">
        <v>229</v>
      </c>
      <c r="D9" s="110"/>
      <c r="E9" s="110"/>
      <c r="F9" s="110"/>
      <c r="G9" s="110"/>
      <c r="H9" s="4"/>
    </row>
    <row r="10" customFormat="false" ht="30" hidden="false" customHeight="true" outlineLevel="0" collapsed="false">
      <c r="A10" s="111"/>
      <c r="B10" s="112" t="s">
        <v>230</v>
      </c>
      <c r="C10" s="113" t="s">
        <v>231</v>
      </c>
      <c r="D10" s="113"/>
      <c r="E10" s="113"/>
      <c r="F10" s="113"/>
      <c r="G10" s="113"/>
      <c r="H10" s="111"/>
    </row>
    <row r="11" customFormat="false" ht="30" hidden="false" customHeight="true" outlineLevel="0" collapsed="false">
      <c r="A11" s="4"/>
      <c r="B11" s="109" t="s">
        <v>232</v>
      </c>
      <c r="C11" s="110" t="s">
        <v>233</v>
      </c>
      <c r="D11" s="110"/>
      <c r="E11" s="110"/>
      <c r="F11" s="110"/>
      <c r="G11" s="110"/>
      <c r="H11" s="4"/>
    </row>
    <row r="12" customFormat="false" ht="30" hidden="false" customHeight="true" outlineLevel="0" collapsed="false">
      <c r="A12" s="111"/>
      <c r="B12" s="112" t="s">
        <v>234</v>
      </c>
      <c r="C12" s="113" t="s">
        <v>235</v>
      </c>
      <c r="D12" s="113"/>
      <c r="E12" s="113"/>
      <c r="F12" s="113"/>
      <c r="G12" s="113"/>
      <c r="H12" s="111"/>
    </row>
    <row r="13" customFormat="false" ht="12" hidden="false" customHeight="tru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24" hidden="false" customHeight="true" outlineLevel="0" collapsed="false">
      <c r="A14" s="26" t="s">
        <v>236</v>
      </c>
      <c r="B14" s="26"/>
      <c r="C14" s="26"/>
      <c r="D14" s="26"/>
      <c r="E14" s="26"/>
      <c r="F14" s="26"/>
      <c r="G14" s="26"/>
      <c r="H14" s="26"/>
    </row>
    <row r="15" customFormat="false" ht="21.75" hidden="false" customHeight="true" outlineLevel="0" collapsed="false">
      <c r="A15" s="111"/>
      <c r="B15" s="114" t="s">
        <v>237</v>
      </c>
      <c r="C15" s="114"/>
      <c r="D15" s="114"/>
      <c r="E15" s="114"/>
      <c r="F15" s="114"/>
      <c r="G15" s="114"/>
      <c r="H15" s="111"/>
    </row>
    <row r="16" customFormat="false" ht="6" hidden="false" customHeight="true" outlineLevel="0" collapsed="false">
      <c r="A16" s="4"/>
      <c r="B16" s="4"/>
      <c r="C16" s="4"/>
      <c r="D16" s="4"/>
      <c r="E16" s="4"/>
      <c r="F16" s="4"/>
      <c r="G16" s="4"/>
      <c r="H16" s="4"/>
    </row>
    <row r="17" customFormat="false" ht="21.75" hidden="false" customHeight="true" outlineLevel="0" collapsed="false">
      <c r="A17" s="4"/>
      <c r="B17" s="109" t="s">
        <v>73</v>
      </c>
      <c r="C17" s="53" t="s">
        <v>238</v>
      </c>
      <c r="D17" s="30" t="s">
        <v>239</v>
      </c>
      <c r="E17" s="30"/>
      <c r="F17" s="30"/>
      <c r="G17" s="30"/>
      <c r="H17" s="4"/>
    </row>
    <row r="18" customFormat="false" ht="30" hidden="false" customHeight="true" outlineLevel="0" collapsed="false">
      <c r="A18" s="4"/>
      <c r="B18" s="78" t="s">
        <v>240</v>
      </c>
      <c r="C18" s="78"/>
      <c r="D18" s="78"/>
      <c r="E18" s="78"/>
      <c r="F18" s="78"/>
      <c r="G18" s="78"/>
      <c r="H18" s="4"/>
    </row>
    <row r="19" customFormat="false" ht="21.75" hidden="false" customHeight="true" outlineLevel="0" collapsed="false">
      <c r="A19" s="111"/>
      <c r="B19" s="112" t="s">
        <v>241</v>
      </c>
      <c r="C19" s="115" t="s">
        <v>242</v>
      </c>
      <c r="D19" s="116" t="s">
        <v>243</v>
      </c>
      <c r="E19" s="116"/>
      <c r="F19" s="116"/>
      <c r="G19" s="116"/>
      <c r="H19" s="111"/>
    </row>
    <row r="20" customFormat="false" ht="30" hidden="false" customHeight="true" outlineLevel="0" collapsed="false">
      <c r="A20" s="111"/>
      <c r="B20" s="117" t="s">
        <v>244</v>
      </c>
      <c r="C20" s="117"/>
      <c r="D20" s="117"/>
      <c r="E20" s="117"/>
      <c r="F20" s="117"/>
      <c r="G20" s="117"/>
      <c r="H20" s="111"/>
    </row>
    <row r="21" customFormat="false" ht="21.75" hidden="false" customHeight="true" outlineLevel="0" collapsed="false">
      <c r="A21" s="4"/>
      <c r="B21" s="109" t="s">
        <v>245</v>
      </c>
      <c r="C21" s="53" t="s">
        <v>246</v>
      </c>
      <c r="D21" s="30" t="s">
        <v>247</v>
      </c>
      <c r="E21" s="30"/>
      <c r="F21" s="30"/>
      <c r="G21" s="30"/>
      <c r="H21" s="4"/>
    </row>
    <row r="22" customFormat="false" ht="30" hidden="false" customHeight="true" outlineLevel="0" collapsed="false">
      <c r="A22" s="4"/>
      <c r="B22" s="78" t="s">
        <v>248</v>
      </c>
      <c r="C22" s="78"/>
      <c r="D22" s="78"/>
      <c r="E22" s="78"/>
      <c r="F22" s="78"/>
      <c r="G22" s="78"/>
      <c r="H22" s="4"/>
    </row>
    <row r="23" customFormat="false" ht="21.75" hidden="false" customHeight="true" outlineLevel="0" collapsed="false">
      <c r="A23" s="111"/>
      <c r="B23" s="112" t="s">
        <v>249</v>
      </c>
      <c r="C23" s="115" t="s">
        <v>250</v>
      </c>
      <c r="D23" s="116" t="s">
        <v>251</v>
      </c>
      <c r="E23" s="116"/>
      <c r="F23" s="116"/>
      <c r="G23" s="116"/>
      <c r="H23" s="111"/>
    </row>
    <row r="24" customFormat="false" ht="30" hidden="false" customHeight="true" outlineLevel="0" collapsed="false">
      <c r="A24" s="111"/>
      <c r="B24" s="117" t="s">
        <v>252</v>
      </c>
      <c r="C24" s="117"/>
      <c r="D24" s="117"/>
      <c r="E24" s="117"/>
      <c r="F24" s="117"/>
      <c r="G24" s="117"/>
      <c r="H24" s="111"/>
    </row>
    <row r="25" customFormat="false" ht="21.75" hidden="false" customHeight="true" outlineLevel="0" collapsed="false">
      <c r="A25" s="4"/>
      <c r="B25" s="109" t="s">
        <v>253</v>
      </c>
      <c r="C25" s="53" t="s">
        <v>254</v>
      </c>
      <c r="D25" s="30" t="s">
        <v>255</v>
      </c>
      <c r="E25" s="30"/>
      <c r="F25" s="30"/>
      <c r="G25" s="30"/>
      <c r="H25" s="4"/>
    </row>
    <row r="26" customFormat="false" ht="30" hidden="false" customHeight="true" outlineLevel="0" collapsed="false">
      <c r="A26" s="4"/>
      <c r="B26" s="78" t="s">
        <v>256</v>
      </c>
      <c r="C26" s="78"/>
      <c r="D26" s="78"/>
      <c r="E26" s="78"/>
      <c r="F26" s="78"/>
      <c r="G26" s="78"/>
      <c r="H26" s="4"/>
    </row>
    <row r="27" customFormat="false" ht="21.75" hidden="false" customHeight="true" outlineLevel="0" collapsed="false">
      <c r="A27" s="111"/>
      <c r="B27" s="112" t="s">
        <v>257</v>
      </c>
      <c r="C27" s="115" t="s">
        <v>258</v>
      </c>
      <c r="D27" s="116" t="s">
        <v>259</v>
      </c>
      <c r="E27" s="116"/>
      <c r="F27" s="116"/>
      <c r="G27" s="116"/>
      <c r="H27" s="111"/>
    </row>
    <row r="28" customFormat="false" ht="30" hidden="false" customHeight="true" outlineLevel="0" collapsed="false">
      <c r="A28" s="111"/>
      <c r="B28" s="117" t="s">
        <v>260</v>
      </c>
      <c r="C28" s="117"/>
      <c r="D28" s="117"/>
      <c r="E28" s="117"/>
      <c r="F28" s="117"/>
      <c r="G28" s="117"/>
      <c r="H28" s="111"/>
    </row>
    <row r="29" customFormat="false" ht="12" hidden="false" customHeight="true" outlineLevel="0" collapsed="false">
      <c r="A29" s="4"/>
      <c r="B29" s="4"/>
      <c r="C29" s="4"/>
      <c r="D29" s="4"/>
      <c r="E29" s="4"/>
      <c r="F29" s="4"/>
      <c r="G29" s="4"/>
      <c r="H29" s="4"/>
    </row>
    <row r="30" customFormat="false" ht="24" hidden="false" customHeight="true" outlineLevel="0" collapsed="false">
      <c r="A30" s="26" t="s">
        <v>261</v>
      </c>
      <c r="B30" s="26"/>
      <c r="C30" s="26"/>
      <c r="D30" s="26"/>
      <c r="E30" s="26"/>
      <c r="F30" s="26"/>
      <c r="G30" s="26"/>
      <c r="H30" s="26"/>
    </row>
    <row r="31" customFormat="false" ht="25.5" hidden="false" customHeight="true" outlineLevel="0" collapsed="false">
      <c r="A31" s="38"/>
      <c r="B31" s="40" t="s">
        <v>262</v>
      </c>
      <c r="C31" s="38"/>
      <c r="D31" s="38"/>
      <c r="E31" s="38"/>
      <c r="F31" s="38"/>
      <c r="G31" s="38"/>
      <c r="H31" s="38"/>
    </row>
    <row r="32" customFormat="false" ht="15" hidden="false" customHeight="false" outlineLevel="0" collapsed="false">
      <c r="C32" s="40" t="s">
        <v>263</v>
      </c>
    </row>
    <row r="33" customFormat="false" ht="15" hidden="false" customHeight="false" outlineLevel="0" collapsed="false">
      <c r="D33" s="40" t="s">
        <v>264</v>
      </c>
    </row>
    <row r="34" customFormat="false" ht="15" hidden="false" customHeight="false" outlineLevel="0" collapsed="false">
      <c r="E34" s="40" t="s">
        <v>265</v>
      </c>
    </row>
    <row r="35" customFormat="false" ht="15" hidden="false" customHeight="false" outlineLevel="0" collapsed="false">
      <c r="F35" s="40" t="s">
        <v>266</v>
      </c>
    </row>
    <row r="36" customFormat="false" ht="25.5" hidden="false" customHeight="true" outlineLevel="0" collapsed="false">
      <c r="A36" s="4"/>
      <c r="B36" s="109" t="s">
        <v>267</v>
      </c>
      <c r="C36" s="73"/>
      <c r="D36" s="73"/>
      <c r="E36" s="73"/>
      <c r="F36" s="118"/>
      <c r="G36" s="4"/>
      <c r="H36" s="4"/>
    </row>
    <row r="37" customFormat="false" ht="25.5" hidden="false" customHeight="true" outlineLevel="0" collapsed="false">
      <c r="A37" s="111"/>
      <c r="B37" s="112" t="s">
        <v>268</v>
      </c>
      <c r="C37" s="119"/>
      <c r="D37" s="119"/>
      <c r="E37" s="119"/>
      <c r="F37" s="120"/>
      <c r="G37" s="111"/>
      <c r="H37" s="111"/>
    </row>
    <row r="38" customFormat="false" ht="25.5" hidden="false" customHeight="true" outlineLevel="0" collapsed="false">
      <c r="A38" s="4"/>
      <c r="B38" s="109" t="s">
        <v>269</v>
      </c>
      <c r="C38" s="73"/>
      <c r="D38" s="73"/>
      <c r="E38" s="73"/>
      <c r="F38" s="118"/>
      <c r="G38" s="4"/>
      <c r="H38" s="4"/>
    </row>
    <row r="39" customFormat="false" ht="25.5" hidden="false" customHeight="true" outlineLevel="0" collapsed="false">
      <c r="A39" s="111"/>
      <c r="B39" s="112" t="s">
        <v>270</v>
      </c>
      <c r="C39" s="119"/>
      <c r="D39" s="119"/>
      <c r="E39" s="119"/>
      <c r="F39" s="120"/>
      <c r="G39" s="111"/>
      <c r="H39" s="111"/>
    </row>
    <row r="40" customFormat="false" ht="25.5" hidden="false" customHeight="true" outlineLevel="0" collapsed="false">
      <c r="A40" s="4"/>
      <c r="B40" s="109" t="s">
        <v>271</v>
      </c>
      <c r="C40" s="73"/>
      <c r="D40" s="73"/>
      <c r="E40" s="73"/>
      <c r="F40" s="118"/>
      <c r="G40" s="4"/>
      <c r="H40" s="4"/>
    </row>
    <row r="41" customFormat="false" ht="25.5" hidden="false" customHeight="true" outlineLevel="0" collapsed="false">
      <c r="A41" s="111"/>
      <c r="B41" s="112" t="s">
        <v>272</v>
      </c>
      <c r="C41" s="119"/>
      <c r="D41" s="119"/>
      <c r="E41" s="119"/>
      <c r="F41" s="120"/>
      <c r="G41" s="111"/>
      <c r="H41" s="111"/>
    </row>
    <row r="42" customFormat="false" ht="25.5" hidden="false" customHeight="true" outlineLevel="0" collapsed="false">
      <c r="A42" s="4"/>
      <c r="B42" s="109" t="s">
        <v>273</v>
      </c>
      <c r="C42" s="73"/>
      <c r="D42" s="73"/>
      <c r="E42" s="73"/>
      <c r="F42" s="118"/>
      <c r="G42" s="4"/>
      <c r="H42" s="4"/>
    </row>
    <row r="43" customFormat="false" ht="25.5" hidden="false" customHeight="true" outlineLevel="0" collapsed="false">
      <c r="A43" s="111"/>
      <c r="B43" s="112" t="s">
        <v>274</v>
      </c>
      <c r="C43" s="119"/>
      <c r="D43" s="119"/>
      <c r="E43" s="119"/>
      <c r="F43" s="120"/>
      <c r="G43" s="111"/>
      <c r="H43" s="111"/>
    </row>
    <row r="44" customFormat="false" ht="25.5" hidden="false" customHeight="true" outlineLevel="0" collapsed="false">
      <c r="A44" s="4"/>
      <c r="B44" s="109" t="s">
        <v>275</v>
      </c>
      <c r="C44" s="73"/>
      <c r="D44" s="73"/>
      <c r="E44" s="73"/>
      <c r="F44" s="118"/>
      <c r="G44" s="4"/>
      <c r="H44" s="4"/>
    </row>
    <row r="45" customFormat="false" ht="25.5" hidden="false" customHeight="true" outlineLevel="0" collapsed="false">
      <c r="A45" s="111"/>
      <c r="B45" s="112" t="s">
        <v>276</v>
      </c>
      <c r="C45" s="119"/>
      <c r="D45" s="119"/>
      <c r="E45" s="119"/>
      <c r="F45" s="120"/>
      <c r="G45" s="111"/>
      <c r="H45" s="111"/>
    </row>
    <row r="46" customFormat="false" ht="25.5" hidden="false" customHeight="true" outlineLevel="0" collapsed="false">
      <c r="A46" s="4"/>
      <c r="B46" s="109" t="s">
        <v>277</v>
      </c>
      <c r="C46" s="73"/>
      <c r="D46" s="73"/>
      <c r="E46" s="73"/>
      <c r="F46" s="118"/>
      <c r="G46" s="4"/>
      <c r="H46" s="4"/>
    </row>
    <row r="47" customFormat="false" ht="25.5" hidden="false" customHeight="true" outlineLevel="0" collapsed="false">
      <c r="A47" s="111"/>
      <c r="B47" s="112" t="s">
        <v>278</v>
      </c>
      <c r="C47" s="119"/>
      <c r="D47" s="119"/>
      <c r="E47" s="119"/>
      <c r="F47" s="120"/>
      <c r="G47" s="111"/>
      <c r="H47" s="111"/>
    </row>
    <row r="48" customFormat="false" ht="9.75" hidden="false" customHeight="true" outlineLevel="0" collapsed="false">
      <c r="A48" s="4"/>
      <c r="B48" s="4"/>
      <c r="C48" s="4"/>
      <c r="D48" s="4"/>
      <c r="E48" s="4"/>
      <c r="F48" s="4"/>
      <c r="G48" s="4"/>
      <c r="H48" s="4"/>
    </row>
    <row r="49" customFormat="false" ht="24" hidden="false" customHeight="true" outlineLevel="0" collapsed="false">
      <c r="A49" s="23" t="s">
        <v>279</v>
      </c>
      <c r="B49" s="23"/>
      <c r="C49" s="23"/>
      <c r="D49" s="23"/>
      <c r="E49" s="23"/>
      <c r="F49" s="23"/>
      <c r="G49" s="23"/>
      <c r="H49" s="23"/>
    </row>
    <row r="50" customFormat="false" ht="25.5" hidden="false" customHeight="true" outlineLevel="0" collapsed="false">
      <c r="A50" s="4"/>
      <c r="B50" s="121" t="s">
        <v>280</v>
      </c>
      <c r="C50" s="30" t="s">
        <v>281</v>
      </c>
      <c r="D50" s="30"/>
      <c r="E50" s="30"/>
      <c r="F50" s="30"/>
      <c r="G50" s="30"/>
      <c r="H50" s="4"/>
    </row>
    <row r="51" customFormat="false" ht="25.5" hidden="false" customHeight="true" outlineLevel="0" collapsed="false">
      <c r="A51" s="85"/>
      <c r="B51" s="122" t="s">
        <v>282</v>
      </c>
      <c r="C51" s="123" t="s">
        <v>283</v>
      </c>
      <c r="D51" s="123"/>
      <c r="E51" s="123"/>
      <c r="F51" s="123"/>
      <c r="G51" s="123"/>
      <c r="H51" s="85"/>
    </row>
    <row r="52" customFormat="false" ht="25.5" hidden="false" customHeight="true" outlineLevel="0" collapsed="false">
      <c r="A52" s="4"/>
      <c r="B52" s="121" t="s">
        <v>284</v>
      </c>
      <c r="C52" s="30" t="s">
        <v>285</v>
      </c>
      <c r="D52" s="30"/>
      <c r="E52" s="30"/>
      <c r="F52" s="30"/>
      <c r="G52" s="30"/>
      <c r="H52" s="4"/>
    </row>
    <row r="53" customFormat="false" ht="25.5" hidden="false" customHeight="true" outlineLevel="0" collapsed="false">
      <c r="A53" s="85"/>
      <c r="B53" s="122" t="s">
        <v>286</v>
      </c>
      <c r="C53" s="123" t="s">
        <v>287</v>
      </c>
      <c r="D53" s="123"/>
      <c r="E53" s="123"/>
      <c r="F53" s="123"/>
      <c r="G53" s="123"/>
      <c r="H53" s="85"/>
    </row>
    <row r="54" customFormat="false" ht="25.5" hidden="false" customHeight="true" outlineLevel="0" collapsed="false">
      <c r="A54" s="4"/>
      <c r="B54" s="121" t="s">
        <v>288</v>
      </c>
      <c r="C54" s="30" t="s">
        <v>289</v>
      </c>
      <c r="D54" s="30"/>
      <c r="E54" s="30"/>
      <c r="F54" s="30"/>
      <c r="G54" s="30"/>
      <c r="H54" s="4"/>
    </row>
    <row r="55" customFormat="false" ht="21.75" hidden="false" customHeight="true" outlineLevel="0" collapsed="false">
      <c r="A55" s="34" t="s">
        <v>290</v>
      </c>
      <c r="B55" s="34"/>
      <c r="C55" s="34"/>
      <c r="D55" s="34"/>
      <c r="E55" s="34"/>
      <c r="F55" s="34"/>
      <c r="G55" s="34"/>
      <c r="H55" s="34"/>
    </row>
  </sheetData>
  <mergeCells count="31">
    <mergeCell ref="A2:H2"/>
    <mergeCell ref="A3:H3"/>
    <mergeCell ref="A6:H6"/>
    <mergeCell ref="C7:G7"/>
    <mergeCell ref="C8:G8"/>
    <mergeCell ref="C9:G9"/>
    <mergeCell ref="C10:G10"/>
    <mergeCell ref="C11:G11"/>
    <mergeCell ref="C12:G12"/>
    <mergeCell ref="A14:H14"/>
    <mergeCell ref="B15:G15"/>
    <mergeCell ref="D17:G17"/>
    <mergeCell ref="B18:G18"/>
    <mergeCell ref="D19:G19"/>
    <mergeCell ref="B20:G20"/>
    <mergeCell ref="D21:G21"/>
    <mergeCell ref="B22:G22"/>
    <mergeCell ref="D23:G23"/>
    <mergeCell ref="B24:G24"/>
    <mergeCell ref="D25:G25"/>
    <mergeCell ref="B26:G26"/>
    <mergeCell ref="D27:G27"/>
    <mergeCell ref="B28:G28"/>
    <mergeCell ref="A30:H30"/>
    <mergeCell ref="A49:H49"/>
    <mergeCell ref="C50:G50"/>
    <mergeCell ref="C51:G51"/>
    <mergeCell ref="C52:G52"/>
    <mergeCell ref="C53:G53"/>
    <mergeCell ref="C54:G54"/>
    <mergeCell ref="A55:H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false"/>
  </sheetPr>
  <dimension ref="A1:H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44"/>
    <col collapsed="false" customWidth="true" hidden="false" outlineLevel="0" max="4" min="4" style="0" width="22"/>
    <col collapsed="false" customWidth="true" hidden="false" outlineLevel="0" max="7" min="5" style="0" width="6"/>
    <col collapsed="false" customWidth="true" hidden="false" outlineLevel="0" max="8" min="8" style="0" width="3"/>
  </cols>
  <sheetData>
    <row r="1" customFormat="false" ht="6" hidden="false" customHeight="true" outlineLevel="0" collapsed="false">
      <c r="A1" s="50"/>
      <c r="B1" s="50"/>
      <c r="C1" s="50"/>
      <c r="D1" s="50"/>
      <c r="E1" s="50"/>
      <c r="F1" s="50"/>
      <c r="G1" s="50"/>
      <c r="H1" s="50"/>
    </row>
    <row r="2" customFormat="false" ht="48" hidden="false" customHeight="true" outlineLevel="0" collapsed="false">
      <c r="A2" s="124" t="s">
        <v>291</v>
      </c>
      <c r="B2" s="124"/>
      <c r="C2" s="124"/>
      <c r="D2" s="124"/>
      <c r="E2" s="124"/>
      <c r="F2" s="124"/>
      <c r="G2" s="124"/>
      <c r="H2" s="124"/>
    </row>
    <row r="3" customFormat="false" ht="25.5" hidden="false" customHeight="true" outlineLevel="0" collapsed="false">
      <c r="A3" s="125" t="s">
        <v>292</v>
      </c>
      <c r="B3" s="125"/>
      <c r="C3" s="125"/>
      <c r="D3" s="125"/>
      <c r="E3" s="125"/>
      <c r="F3" s="125"/>
      <c r="G3" s="125"/>
      <c r="H3" s="125"/>
    </row>
    <row r="4" customFormat="false" ht="6" hidden="false" customHeight="true" outlineLevel="0" collapsed="false">
      <c r="A4" s="50"/>
      <c r="B4" s="50"/>
      <c r="C4" s="50"/>
      <c r="D4" s="50"/>
      <c r="E4" s="50"/>
      <c r="F4" s="50"/>
      <c r="G4" s="50"/>
      <c r="H4" s="50"/>
    </row>
    <row r="5" customFormat="false" ht="9.75" hidden="false" customHeight="tru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21.75" hidden="false" customHeight="true" outlineLevel="0" collapsed="false">
      <c r="A6" s="126"/>
      <c r="B6" s="127" t="s">
        <v>293</v>
      </c>
      <c r="C6" s="127"/>
      <c r="D6" s="127"/>
      <c r="E6" s="127"/>
      <c r="F6" s="127"/>
      <c r="G6" s="127"/>
      <c r="H6" s="126"/>
    </row>
    <row r="7" customFormat="false" ht="9.75" hidden="false" customHeight="tru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27.75" hidden="false" customHeight="true" outlineLevel="0" collapsed="false">
      <c r="A8" s="128" t="s">
        <v>294</v>
      </c>
      <c r="B8" s="128"/>
      <c r="C8" s="128"/>
      <c r="D8" s="128"/>
      <c r="E8" s="128"/>
      <c r="F8" s="128"/>
      <c r="G8" s="128"/>
      <c r="H8" s="128"/>
    </row>
    <row r="9" customFormat="false" ht="21.75" hidden="false" customHeight="true" outlineLevel="0" collapsed="false">
      <c r="A9" s="126"/>
      <c r="B9" s="129" t="s">
        <v>295</v>
      </c>
      <c r="C9" s="129"/>
      <c r="D9" s="129"/>
      <c r="E9" s="129"/>
      <c r="F9" s="129"/>
      <c r="G9" s="129"/>
      <c r="H9" s="126"/>
    </row>
    <row r="10" customFormat="false" ht="21.75" hidden="false" customHeight="true" outlineLevel="0" collapsed="false">
      <c r="A10" s="126"/>
      <c r="B10" s="127" t="s">
        <v>296</v>
      </c>
      <c r="C10" s="127"/>
      <c r="D10" s="127"/>
      <c r="E10" s="127"/>
      <c r="F10" s="127"/>
      <c r="G10" s="127"/>
      <c r="H10" s="126"/>
    </row>
    <row r="11" customFormat="false" ht="19.5" hidden="false" customHeight="true" outlineLevel="0" collapsed="false">
      <c r="A11" s="38"/>
      <c r="B11" s="130" t="s">
        <v>297</v>
      </c>
      <c r="C11" s="130"/>
      <c r="D11" s="130"/>
      <c r="E11" s="130"/>
      <c r="F11" s="130"/>
      <c r="G11" s="130"/>
      <c r="H11" s="38"/>
    </row>
    <row r="12" customFormat="false" ht="19.5" hidden="false" customHeight="true" outlineLevel="0" collapsed="false">
      <c r="A12" s="126"/>
      <c r="B12" s="131" t="s">
        <v>298</v>
      </c>
      <c r="C12" s="131"/>
      <c r="D12" s="131"/>
      <c r="E12" s="131"/>
      <c r="F12" s="131"/>
      <c r="G12" s="131"/>
      <c r="H12" s="126"/>
    </row>
    <row r="13" customFormat="false" ht="19.5" hidden="false" customHeight="true" outlineLevel="0" collapsed="false">
      <c r="A13" s="126"/>
      <c r="B13" s="131" t="s">
        <v>299</v>
      </c>
      <c r="C13" s="131"/>
      <c r="D13" s="131"/>
      <c r="E13" s="131"/>
      <c r="F13" s="131"/>
      <c r="G13" s="131"/>
      <c r="H13" s="126"/>
    </row>
    <row r="14" customFormat="false" ht="19.5" hidden="false" customHeight="true" outlineLevel="0" collapsed="false">
      <c r="A14" s="126"/>
      <c r="B14" s="131" t="s">
        <v>300</v>
      </c>
      <c r="C14" s="131"/>
      <c r="D14" s="131"/>
      <c r="E14" s="131"/>
      <c r="F14" s="131"/>
      <c r="G14" s="131"/>
      <c r="H14" s="126"/>
    </row>
    <row r="15" customFormat="false" ht="19.5" hidden="false" customHeight="true" outlineLevel="0" collapsed="false">
      <c r="A15" s="38"/>
      <c r="B15" s="132" t="s">
        <v>301</v>
      </c>
      <c r="C15" s="132"/>
      <c r="D15" s="132"/>
      <c r="E15" s="132"/>
      <c r="F15" s="132"/>
      <c r="G15" s="132"/>
      <c r="H15" s="38"/>
    </row>
    <row r="16" customFormat="false" ht="19.5" hidden="false" customHeight="true" outlineLevel="0" collapsed="false">
      <c r="A16" s="56"/>
      <c r="B16" s="70" t="s">
        <v>302</v>
      </c>
      <c r="C16" s="56"/>
      <c r="D16" s="56"/>
      <c r="E16" s="56"/>
      <c r="F16" s="56"/>
      <c r="G16" s="56"/>
      <c r="H16" s="56"/>
    </row>
    <row r="17" customFormat="false" ht="36" hidden="false" customHeight="true" outlineLevel="0" collapsed="false">
      <c r="A17" s="4"/>
      <c r="B17" s="133" t="s">
        <v>303</v>
      </c>
      <c r="C17" s="133"/>
      <c r="D17" s="133"/>
      <c r="E17" s="133"/>
      <c r="F17" s="133"/>
      <c r="G17" s="133"/>
      <c r="H17" s="4"/>
    </row>
    <row r="18" customFormat="false" ht="19.5" hidden="false" customHeight="true" outlineLevel="0" collapsed="false">
      <c r="A18" s="56"/>
      <c r="B18" s="70" t="s">
        <v>304</v>
      </c>
      <c r="C18" s="56"/>
      <c r="D18" s="56"/>
      <c r="E18" s="56"/>
      <c r="F18" s="56"/>
      <c r="G18" s="56"/>
      <c r="H18" s="56"/>
    </row>
    <row r="19" customFormat="false" ht="36" hidden="false" customHeight="true" outlineLevel="0" collapsed="false">
      <c r="A19" s="4"/>
      <c r="B19" s="133" t="s">
        <v>305</v>
      </c>
      <c r="C19" s="133"/>
      <c r="D19" s="133"/>
      <c r="E19" s="133"/>
      <c r="F19" s="133"/>
      <c r="G19" s="133"/>
      <c r="H19" s="4"/>
    </row>
    <row r="20" customFormat="false" ht="19.5" hidden="false" customHeight="true" outlineLevel="0" collapsed="false">
      <c r="A20" s="56"/>
      <c r="B20" s="70" t="s">
        <v>306</v>
      </c>
      <c r="C20" s="56"/>
      <c r="D20" s="56"/>
      <c r="E20" s="56"/>
      <c r="F20" s="56"/>
      <c r="G20" s="56"/>
      <c r="H20" s="56"/>
    </row>
    <row r="21" customFormat="false" ht="36" hidden="false" customHeight="true" outlineLevel="0" collapsed="false">
      <c r="A21" s="4"/>
      <c r="B21" s="133" t="s">
        <v>307</v>
      </c>
      <c r="C21" s="133"/>
      <c r="D21" s="133"/>
      <c r="E21" s="133"/>
      <c r="F21" s="133"/>
      <c r="G21" s="133"/>
      <c r="H21" s="4"/>
    </row>
    <row r="22" customFormat="false" ht="27.75" hidden="false" customHeight="true" outlineLevel="0" collapsed="false">
      <c r="A22" s="126"/>
      <c r="B22" s="134" t="s">
        <v>308</v>
      </c>
      <c r="C22" s="135" t="s">
        <v>309</v>
      </c>
      <c r="D22" s="135"/>
      <c r="E22" s="135"/>
      <c r="F22" s="135"/>
      <c r="G22" s="135"/>
      <c r="H22" s="126"/>
    </row>
    <row r="23" customFormat="false" ht="13.5" hidden="false" customHeight="tru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27.75" hidden="false" customHeight="true" outlineLevel="0" collapsed="false">
      <c r="A24" s="136" t="s">
        <v>310</v>
      </c>
      <c r="B24" s="136"/>
      <c r="C24" s="136"/>
      <c r="D24" s="136"/>
      <c r="E24" s="136"/>
      <c r="F24" s="136"/>
      <c r="G24" s="136"/>
      <c r="H24" s="136"/>
    </row>
    <row r="25" customFormat="false" ht="21.75" hidden="false" customHeight="true" outlineLevel="0" collapsed="false">
      <c r="A25" s="137"/>
      <c r="B25" s="138" t="s">
        <v>311</v>
      </c>
      <c r="C25" s="138"/>
      <c r="D25" s="138"/>
      <c r="E25" s="138"/>
      <c r="F25" s="138"/>
      <c r="G25" s="138"/>
      <c r="H25" s="137"/>
    </row>
    <row r="26" customFormat="false" ht="21.75" hidden="false" customHeight="true" outlineLevel="0" collapsed="false">
      <c r="A26" s="137"/>
      <c r="B26" s="139" t="s">
        <v>312</v>
      </c>
      <c r="C26" s="139"/>
      <c r="D26" s="139"/>
      <c r="E26" s="139"/>
      <c r="F26" s="139"/>
      <c r="G26" s="139"/>
      <c r="H26" s="137"/>
    </row>
    <row r="27" customFormat="false" ht="19.5" hidden="false" customHeight="true" outlineLevel="0" collapsed="false">
      <c r="A27" s="38"/>
      <c r="B27" s="130" t="s">
        <v>297</v>
      </c>
      <c r="C27" s="130"/>
      <c r="D27" s="130"/>
      <c r="E27" s="130"/>
      <c r="F27" s="130"/>
      <c r="G27" s="130"/>
      <c r="H27" s="38"/>
    </row>
    <row r="28" customFormat="false" ht="19.5" hidden="false" customHeight="true" outlineLevel="0" collapsed="false">
      <c r="A28" s="126"/>
      <c r="B28" s="131" t="s">
        <v>313</v>
      </c>
      <c r="C28" s="131"/>
      <c r="D28" s="131"/>
      <c r="E28" s="131"/>
      <c r="F28" s="131"/>
      <c r="G28" s="131"/>
      <c r="H28" s="126"/>
    </row>
    <row r="29" customFormat="false" ht="19.5" hidden="false" customHeight="true" outlineLevel="0" collapsed="false">
      <c r="A29" s="126"/>
      <c r="B29" s="131" t="s">
        <v>314</v>
      </c>
      <c r="C29" s="131"/>
      <c r="D29" s="131"/>
      <c r="E29" s="131"/>
      <c r="F29" s="131"/>
      <c r="G29" s="131"/>
      <c r="H29" s="126"/>
    </row>
    <row r="30" customFormat="false" ht="19.5" hidden="false" customHeight="true" outlineLevel="0" collapsed="false">
      <c r="A30" s="126"/>
      <c r="B30" s="131" t="s">
        <v>315</v>
      </c>
      <c r="C30" s="131"/>
      <c r="D30" s="131"/>
      <c r="E30" s="131"/>
      <c r="F30" s="131"/>
      <c r="G30" s="131"/>
      <c r="H30" s="126"/>
    </row>
    <row r="31" customFormat="false" ht="19.5" hidden="false" customHeight="true" outlineLevel="0" collapsed="false">
      <c r="A31" s="38"/>
      <c r="B31" s="132" t="s">
        <v>301</v>
      </c>
      <c r="C31" s="132"/>
      <c r="D31" s="132"/>
      <c r="E31" s="132"/>
      <c r="F31" s="132"/>
      <c r="G31" s="132"/>
      <c r="H31" s="38"/>
    </row>
    <row r="32" customFormat="false" ht="19.5" hidden="false" customHeight="true" outlineLevel="0" collapsed="false">
      <c r="A32" s="56"/>
      <c r="B32" s="70" t="s">
        <v>302</v>
      </c>
      <c r="C32" s="56"/>
      <c r="D32" s="56"/>
      <c r="E32" s="56"/>
      <c r="F32" s="56"/>
      <c r="G32" s="56"/>
      <c r="H32" s="56"/>
    </row>
    <row r="33" customFormat="false" ht="36" hidden="false" customHeight="true" outlineLevel="0" collapsed="false">
      <c r="A33" s="4"/>
      <c r="B33" s="133" t="s">
        <v>316</v>
      </c>
      <c r="C33" s="133"/>
      <c r="D33" s="133"/>
      <c r="E33" s="133"/>
      <c r="F33" s="133"/>
      <c r="G33" s="133"/>
      <c r="H33" s="4"/>
    </row>
    <row r="34" customFormat="false" ht="19.5" hidden="false" customHeight="true" outlineLevel="0" collapsed="false">
      <c r="A34" s="56"/>
      <c r="B34" s="70" t="s">
        <v>304</v>
      </c>
      <c r="C34" s="56"/>
      <c r="D34" s="56"/>
      <c r="E34" s="56"/>
      <c r="F34" s="56"/>
      <c r="G34" s="56"/>
      <c r="H34" s="56"/>
    </row>
    <row r="35" customFormat="false" ht="36" hidden="false" customHeight="true" outlineLevel="0" collapsed="false">
      <c r="A35" s="4"/>
      <c r="B35" s="133" t="s">
        <v>317</v>
      </c>
      <c r="C35" s="133"/>
      <c r="D35" s="133"/>
      <c r="E35" s="133"/>
      <c r="F35" s="133"/>
      <c r="G35" s="133"/>
      <c r="H35" s="4"/>
    </row>
    <row r="36" customFormat="false" ht="19.5" hidden="false" customHeight="true" outlineLevel="0" collapsed="false">
      <c r="A36" s="56"/>
      <c r="B36" s="70" t="s">
        <v>306</v>
      </c>
      <c r="C36" s="56"/>
      <c r="D36" s="56"/>
      <c r="E36" s="56"/>
      <c r="F36" s="56"/>
      <c r="G36" s="56"/>
      <c r="H36" s="56"/>
    </row>
    <row r="37" customFormat="false" ht="36" hidden="false" customHeight="true" outlineLevel="0" collapsed="false">
      <c r="A37" s="4"/>
      <c r="B37" s="133" t="s">
        <v>318</v>
      </c>
      <c r="C37" s="133"/>
      <c r="D37" s="133"/>
      <c r="E37" s="133"/>
      <c r="F37" s="133"/>
      <c r="G37" s="133"/>
      <c r="H37" s="4"/>
    </row>
    <row r="38" customFormat="false" ht="27.75" hidden="false" customHeight="true" outlineLevel="0" collapsed="false">
      <c r="A38" s="137"/>
      <c r="B38" s="140" t="s">
        <v>308</v>
      </c>
      <c r="C38" s="141" t="s">
        <v>319</v>
      </c>
      <c r="D38" s="141"/>
      <c r="E38" s="141"/>
      <c r="F38" s="141"/>
      <c r="G38" s="141"/>
      <c r="H38" s="137"/>
    </row>
    <row r="39" customFormat="false" ht="13.5" hidden="false" customHeight="true" outlineLevel="0" collapsed="false">
      <c r="A39" s="4"/>
      <c r="B39" s="4"/>
      <c r="C39" s="4"/>
      <c r="D39" s="4"/>
      <c r="E39" s="4"/>
      <c r="F39" s="4"/>
      <c r="G39" s="4"/>
      <c r="H39" s="4"/>
    </row>
    <row r="40" customFormat="false" ht="27.75" hidden="false" customHeight="true" outlineLevel="0" collapsed="false">
      <c r="A40" s="142" t="s">
        <v>320</v>
      </c>
      <c r="B40" s="142"/>
      <c r="C40" s="142"/>
      <c r="D40" s="142"/>
      <c r="E40" s="142"/>
      <c r="F40" s="142"/>
      <c r="G40" s="142"/>
      <c r="H40" s="142"/>
    </row>
    <row r="41" customFormat="false" ht="21.75" hidden="false" customHeight="true" outlineLevel="0" collapsed="false">
      <c r="A41" s="111"/>
      <c r="B41" s="143" t="s">
        <v>321</v>
      </c>
      <c r="C41" s="143"/>
      <c r="D41" s="143"/>
      <c r="E41" s="143"/>
      <c r="F41" s="143"/>
      <c r="G41" s="143"/>
      <c r="H41" s="111"/>
    </row>
    <row r="42" customFormat="false" ht="21.75" hidden="false" customHeight="true" outlineLevel="0" collapsed="false">
      <c r="A42" s="111"/>
      <c r="B42" s="144" t="s">
        <v>322</v>
      </c>
      <c r="C42" s="144"/>
      <c r="D42" s="144"/>
      <c r="E42" s="144"/>
      <c r="F42" s="144"/>
      <c r="G42" s="144"/>
      <c r="H42" s="111"/>
    </row>
    <row r="43" customFormat="false" ht="19.5" hidden="false" customHeight="true" outlineLevel="0" collapsed="false">
      <c r="A43" s="38"/>
      <c r="B43" s="130" t="s">
        <v>297</v>
      </c>
      <c r="C43" s="130"/>
      <c r="D43" s="130"/>
      <c r="E43" s="130"/>
      <c r="F43" s="130"/>
      <c r="G43" s="130"/>
      <c r="H43" s="38"/>
    </row>
    <row r="44" customFormat="false" ht="19.5" hidden="false" customHeight="true" outlineLevel="0" collapsed="false">
      <c r="A44" s="126"/>
      <c r="B44" s="131" t="s">
        <v>323</v>
      </c>
      <c r="C44" s="131"/>
      <c r="D44" s="131"/>
      <c r="E44" s="131"/>
      <c r="F44" s="131"/>
      <c r="G44" s="131"/>
      <c r="H44" s="126"/>
    </row>
    <row r="45" customFormat="false" ht="19.5" hidden="false" customHeight="true" outlineLevel="0" collapsed="false">
      <c r="A45" s="126"/>
      <c r="B45" s="131" t="s">
        <v>324</v>
      </c>
      <c r="C45" s="131"/>
      <c r="D45" s="131"/>
      <c r="E45" s="131"/>
      <c r="F45" s="131"/>
      <c r="G45" s="131"/>
      <c r="H45" s="126"/>
    </row>
    <row r="46" customFormat="false" ht="19.5" hidden="false" customHeight="true" outlineLevel="0" collapsed="false">
      <c r="A46" s="126"/>
      <c r="B46" s="131" t="s">
        <v>325</v>
      </c>
      <c r="C46" s="131"/>
      <c r="D46" s="131"/>
      <c r="E46" s="131"/>
      <c r="F46" s="131"/>
      <c r="G46" s="131"/>
      <c r="H46" s="126"/>
    </row>
    <row r="47" customFormat="false" ht="19.5" hidden="false" customHeight="true" outlineLevel="0" collapsed="false">
      <c r="A47" s="38"/>
      <c r="B47" s="132" t="s">
        <v>301</v>
      </c>
      <c r="C47" s="132"/>
      <c r="D47" s="132"/>
      <c r="E47" s="132"/>
      <c r="F47" s="132"/>
      <c r="G47" s="132"/>
      <c r="H47" s="38"/>
    </row>
    <row r="48" customFormat="false" ht="19.5" hidden="false" customHeight="true" outlineLevel="0" collapsed="false">
      <c r="A48" s="56"/>
      <c r="B48" s="70" t="s">
        <v>326</v>
      </c>
      <c r="C48" s="56"/>
      <c r="D48" s="56"/>
      <c r="E48" s="56"/>
      <c r="F48" s="56"/>
      <c r="G48" s="56"/>
      <c r="H48" s="56"/>
    </row>
    <row r="49" customFormat="false" ht="36" hidden="false" customHeight="true" outlineLevel="0" collapsed="false">
      <c r="A49" s="4"/>
      <c r="B49" s="133" t="s">
        <v>327</v>
      </c>
      <c r="C49" s="133"/>
      <c r="D49" s="133"/>
      <c r="E49" s="133"/>
      <c r="F49" s="133"/>
      <c r="G49" s="133"/>
      <c r="H49" s="4"/>
    </row>
    <row r="50" customFormat="false" ht="19.5" hidden="false" customHeight="true" outlineLevel="0" collapsed="false">
      <c r="A50" s="56"/>
      <c r="B50" s="70" t="s">
        <v>328</v>
      </c>
      <c r="C50" s="56"/>
      <c r="D50" s="56"/>
      <c r="E50" s="56"/>
      <c r="F50" s="56"/>
      <c r="G50" s="56"/>
      <c r="H50" s="56"/>
    </row>
    <row r="51" customFormat="false" ht="36" hidden="false" customHeight="true" outlineLevel="0" collapsed="false">
      <c r="A51" s="4"/>
      <c r="B51" s="133" t="s">
        <v>329</v>
      </c>
      <c r="C51" s="133"/>
      <c r="D51" s="133"/>
      <c r="E51" s="133"/>
      <c r="F51" s="133"/>
      <c r="G51" s="133"/>
      <c r="H51" s="4"/>
    </row>
    <row r="52" customFormat="false" ht="19.5" hidden="false" customHeight="true" outlineLevel="0" collapsed="false">
      <c r="A52" s="56"/>
      <c r="B52" s="70" t="s">
        <v>306</v>
      </c>
      <c r="C52" s="56"/>
      <c r="D52" s="56"/>
      <c r="E52" s="56"/>
      <c r="F52" s="56"/>
      <c r="G52" s="56"/>
      <c r="H52" s="56"/>
    </row>
    <row r="53" customFormat="false" ht="36" hidden="false" customHeight="true" outlineLevel="0" collapsed="false">
      <c r="A53" s="4"/>
      <c r="B53" s="133" t="s">
        <v>330</v>
      </c>
      <c r="C53" s="133"/>
      <c r="D53" s="133"/>
      <c r="E53" s="133"/>
      <c r="F53" s="133"/>
      <c r="G53" s="133"/>
      <c r="H53" s="4"/>
    </row>
    <row r="54" customFormat="false" ht="27.75" hidden="false" customHeight="true" outlineLevel="0" collapsed="false">
      <c r="A54" s="111"/>
      <c r="B54" s="112" t="s">
        <v>308</v>
      </c>
      <c r="C54" s="145" t="s">
        <v>331</v>
      </c>
      <c r="D54" s="145"/>
      <c r="E54" s="145"/>
      <c r="F54" s="145"/>
      <c r="G54" s="145"/>
      <c r="H54" s="111"/>
    </row>
    <row r="55" customFormat="false" ht="13.5" hidden="false" customHeight="true" outlineLevel="0" collapsed="false">
      <c r="A55" s="4"/>
      <c r="B55" s="4"/>
      <c r="C55" s="4"/>
      <c r="D55" s="4"/>
      <c r="E55" s="4"/>
      <c r="F55" s="4"/>
      <c r="G55" s="4"/>
      <c r="H55" s="4"/>
    </row>
    <row r="56" customFormat="false" ht="27.75" hidden="false" customHeight="true" outlineLevel="0" collapsed="false">
      <c r="A56" s="128" t="s">
        <v>332</v>
      </c>
      <c r="B56" s="128"/>
      <c r="C56" s="128"/>
      <c r="D56" s="128"/>
      <c r="E56" s="128"/>
      <c r="F56" s="128"/>
      <c r="G56" s="128"/>
      <c r="H56" s="128"/>
    </row>
    <row r="57" customFormat="false" ht="21.75" hidden="false" customHeight="true" outlineLevel="0" collapsed="false">
      <c r="A57" s="126"/>
      <c r="B57" s="129" t="s">
        <v>333</v>
      </c>
      <c r="C57" s="129"/>
      <c r="D57" s="129"/>
      <c r="E57" s="129"/>
      <c r="F57" s="129"/>
      <c r="G57" s="129"/>
      <c r="H57" s="126"/>
    </row>
    <row r="58" customFormat="false" ht="21.75" hidden="false" customHeight="true" outlineLevel="0" collapsed="false">
      <c r="A58" s="126"/>
      <c r="B58" s="127" t="s">
        <v>334</v>
      </c>
      <c r="C58" s="127"/>
      <c r="D58" s="127"/>
      <c r="E58" s="127"/>
      <c r="F58" s="127"/>
      <c r="G58" s="127"/>
      <c r="H58" s="126"/>
    </row>
    <row r="59" customFormat="false" ht="19.5" hidden="false" customHeight="true" outlineLevel="0" collapsed="false">
      <c r="A59" s="38"/>
      <c r="B59" s="130" t="s">
        <v>297</v>
      </c>
      <c r="C59" s="130"/>
      <c r="D59" s="130"/>
      <c r="E59" s="130"/>
      <c r="F59" s="130"/>
      <c r="G59" s="130"/>
      <c r="H59" s="38"/>
    </row>
    <row r="60" customFormat="false" ht="19.5" hidden="false" customHeight="true" outlineLevel="0" collapsed="false">
      <c r="A60" s="126"/>
      <c r="B60" s="131" t="s">
        <v>335</v>
      </c>
      <c r="C60" s="131"/>
      <c r="D60" s="131"/>
      <c r="E60" s="131"/>
      <c r="F60" s="131"/>
      <c r="G60" s="131"/>
      <c r="H60" s="126"/>
    </row>
    <row r="61" customFormat="false" ht="19.5" hidden="false" customHeight="true" outlineLevel="0" collapsed="false">
      <c r="A61" s="126"/>
      <c r="B61" s="131" t="s">
        <v>336</v>
      </c>
      <c r="C61" s="131"/>
      <c r="D61" s="131"/>
      <c r="E61" s="131"/>
      <c r="F61" s="131"/>
      <c r="G61" s="131"/>
      <c r="H61" s="126"/>
    </row>
    <row r="62" customFormat="false" ht="19.5" hidden="false" customHeight="true" outlineLevel="0" collapsed="false">
      <c r="A62" s="126"/>
      <c r="B62" s="131" t="s">
        <v>337</v>
      </c>
      <c r="C62" s="131"/>
      <c r="D62" s="131"/>
      <c r="E62" s="131"/>
      <c r="F62" s="131"/>
      <c r="G62" s="131"/>
      <c r="H62" s="126"/>
    </row>
    <row r="63" customFormat="false" ht="19.5" hidden="false" customHeight="true" outlineLevel="0" collapsed="false">
      <c r="A63" s="38"/>
      <c r="B63" s="132" t="s">
        <v>301</v>
      </c>
      <c r="C63" s="132"/>
      <c r="D63" s="132"/>
      <c r="E63" s="132"/>
      <c r="F63" s="132"/>
      <c r="G63" s="132"/>
      <c r="H63" s="38"/>
    </row>
    <row r="64" customFormat="false" ht="19.5" hidden="false" customHeight="true" outlineLevel="0" collapsed="false">
      <c r="A64" s="56"/>
      <c r="B64" s="70" t="s">
        <v>338</v>
      </c>
      <c r="C64" s="56"/>
      <c r="D64" s="56"/>
      <c r="E64" s="56"/>
      <c r="F64" s="56"/>
      <c r="G64" s="56"/>
      <c r="H64" s="56"/>
    </row>
    <row r="65" customFormat="false" ht="36" hidden="false" customHeight="true" outlineLevel="0" collapsed="false">
      <c r="A65" s="4"/>
      <c r="B65" s="133" t="s">
        <v>339</v>
      </c>
      <c r="C65" s="133"/>
      <c r="D65" s="133"/>
      <c r="E65" s="133"/>
      <c r="F65" s="133"/>
      <c r="G65" s="133"/>
      <c r="H65" s="4"/>
    </row>
    <row r="66" customFormat="false" ht="19.5" hidden="false" customHeight="true" outlineLevel="0" collapsed="false">
      <c r="A66" s="56"/>
      <c r="B66" s="70" t="s">
        <v>340</v>
      </c>
      <c r="C66" s="56"/>
      <c r="D66" s="56"/>
      <c r="E66" s="56"/>
      <c r="F66" s="56"/>
      <c r="G66" s="56"/>
      <c r="H66" s="56"/>
    </row>
    <row r="67" customFormat="false" ht="36" hidden="false" customHeight="true" outlineLevel="0" collapsed="false">
      <c r="A67" s="4"/>
      <c r="B67" s="133" t="s">
        <v>341</v>
      </c>
      <c r="C67" s="133"/>
      <c r="D67" s="133"/>
      <c r="E67" s="133"/>
      <c r="F67" s="133"/>
      <c r="G67" s="133"/>
      <c r="H67" s="4"/>
    </row>
    <row r="68" customFormat="false" ht="19.5" hidden="false" customHeight="true" outlineLevel="0" collapsed="false">
      <c r="A68" s="56"/>
      <c r="B68" s="70" t="s">
        <v>306</v>
      </c>
      <c r="C68" s="56"/>
      <c r="D68" s="56"/>
      <c r="E68" s="56"/>
      <c r="F68" s="56"/>
      <c r="G68" s="56"/>
      <c r="H68" s="56"/>
    </row>
    <row r="69" customFormat="false" ht="36" hidden="false" customHeight="true" outlineLevel="0" collapsed="false">
      <c r="A69" s="4"/>
      <c r="B69" s="133" t="s">
        <v>342</v>
      </c>
      <c r="C69" s="133"/>
      <c r="D69" s="133"/>
      <c r="E69" s="133"/>
      <c r="F69" s="133"/>
      <c r="G69" s="133"/>
      <c r="H69" s="4"/>
    </row>
    <row r="70" customFormat="false" ht="27.75" hidden="false" customHeight="true" outlineLevel="0" collapsed="false">
      <c r="A70" s="126"/>
      <c r="B70" s="134" t="s">
        <v>308</v>
      </c>
      <c r="C70" s="135" t="s">
        <v>343</v>
      </c>
      <c r="D70" s="135"/>
      <c r="E70" s="135"/>
      <c r="F70" s="135"/>
      <c r="G70" s="135"/>
      <c r="H70" s="126"/>
    </row>
    <row r="71" customFormat="false" ht="13.5" hidden="false" customHeight="true" outlineLevel="0" collapsed="false">
      <c r="A71" s="4"/>
      <c r="B71" s="4"/>
      <c r="C71" s="4"/>
      <c r="D71" s="4"/>
      <c r="E71" s="4"/>
      <c r="F71" s="4"/>
      <c r="G71" s="4"/>
      <c r="H71" s="4"/>
    </row>
    <row r="72" customFormat="false" ht="27.75" hidden="false" customHeight="true" outlineLevel="0" collapsed="false">
      <c r="A72" s="146" t="s">
        <v>344</v>
      </c>
      <c r="B72" s="146"/>
      <c r="C72" s="146"/>
      <c r="D72" s="146"/>
      <c r="E72" s="146"/>
      <c r="F72" s="146"/>
      <c r="G72" s="146"/>
      <c r="H72" s="146"/>
    </row>
    <row r="73" customFormat="false" ht="21.75" hidden="false" customHeight="true" outlineLevel="0" collapsed="false">
      <c r="A73" s="56"/>
      <c r="B73" s="147" t="s">
        <v>345</v>
      </c>
      <c r="C73" s="147"/>
      <c r="D73" s="147"/>
      <c r="E73" s="147"/>
      <c r="F73" s="147"/>
      <c r="G73" s="147"/>
      <c r="H73" s="56"/>
    </row>
    <row r="74" customFormat="false" ht="21.75" hidden="false" customHeight="true" outlineLevel="0" collapsed="false">
      <c r="A74" s="56"/>
      <c r="B74" s="148" t="s">
        <v>346</v>
      </c>
      <c r="C74" s="148"/>
      <c r="D74" s="148"/>
      <c r="E74" s="148"/>
      <c r="F74" s="148"/>
      <c r="G74" s="148"/>
      <c r="H74" s="56"/>
    </row>
    <row r="75" customFormat="false" ht="19.5" hidden="false" customHeight="true" outlineLevel="0" collapsed="false">
      <c r="A75" s="38"/>
      <c r="B75" s="130" t="s">
        <v>297</v>
      </c>
      <c r="C75" s="130"/>
      <c r="D75" s="130"/>
      <c r="E75" s="130"/>
      <c r="F75" s="130"/>
      <c r="G75" s="130"/>
      <c r="H75" s="38"/>
    </row>
    <row r="76" customFormat="false" ht="19.5" hidden="false" customHeight="true" outlineLevel="0" collapsed="false">
      <c r="A76" s="126"/>
      <c r="B76" s="131" t="s">
        <v>347</v>
      </c>
      <c r="C76" s="131"/>
      <c r="D76" s="131"/>
      <c r="E76" s="131"/>
      <c r="F76" s="131"/>
      <c r="G76" s="131"/>
      <c r="H76" s="126"/>
    </row>
    <row r="77" customFormat="false" ht="19.5" hidden="false" customHeight="true" outlineLevel="0" collapsed="false">
      <c r="A77" s="126"/>
      <c r="B77" s="131" t="s">
        <v>348</v>
      </c>
      <c r="C77" s="131"/>
      <c r="D77" s="131"/>
      <c r="E77" s="131"/>
      <c r="F77" s="131"/>
      <c r="G77" s="131"/>
      <c r="H77" s="126"/>
    </row>
    <row r="78" customFormat="false" ht="19.5" hidden="false" customHeight="true" outlineLevel="0" collapsed="false">
      <c r="A78" s="126"/>
      <c r="B78" s="131" t="s">
        <v>349</v>
      </c>
      <c r="C78" s="131"/>
      <c r="D78" s="131"/>
      <c r="E78" s="131"/>
      <c r="F78" s="131"/>
      <c r="G78" s="131"/>
      <c r="H78" s="126"/>
    </row>
    <row r="79" customFormat="false" ht="19.5" hidden="false" customHeight="true" outlineLevel="0" collapsed="false">
      <c r="A79" s="38"/>
      <c r="B79" s="132" t="s">
        <v>301</v>
      </c>
      <c r="C79" s="132"/>
      <c r="D79" s="132"/>
      <c r="E79" s="132"/>
      <c r="F79" s="132"/>
      <c r="G79" s="132"/>
      <c r="H79" s="38"/>
    </row>
    <row r="80" customFormat="false" ht="19.5" hidden="false" customHeight="true" outlineLevel="0" collapsed="false">
      <c r="A80" s="56"/>
      <c r="B80" s="70" t="s">
        <v>350</v>
      </c>
      <c r="C80" s="56"/>
      <c r="D80" s="56"/>
      <c r="E80" s="56"/>
      <c r="F80" s="56"/>
      <c r="G80" s="56"/>
      <c r="H80" s="56"/>
    </row>
    <row r="81" customFormat="false" ht="36" hidden="false" customHeight="true" outlineLevel="0" collapsed="false">
      <c r="A81" s="4"/>
      <c r="B81" s="133" t="s">
        <v>351</v>
      </c>
      <c r="C81" s="133"/>
      <c r="D81" s="133"/>
      <c r="E81" s="133"/>
      <c r="F81" s="133"/>
      <c r="G81" s="133"/>
      <c r="H81" s="4"/>
    </row>
    <row r="82" customFormat="false" ht="19.5" hidden="false" customHeight="true" outlineLevel="0" collapsed="false">
      <c r="A82" s="56"/>
      <c r="B82" s="70" t="s">
        <v>352</v>
      </c>
      <c r="C82" s="56"/>
      <c r="D82" s="56"/>
      <c r="E82" s="56"/>
      <c r="F82" s="56"/>
      <c r="G82" s="56"/>
      <c r="H82" s="56"/>
    </row>
    <row r="83" customFormat="false" ht="36" hidden="false" customHeight="true" outlineLevel="0" collapsed="false">
      <c r="A83" s="4"/>
      <c r="B83" s="133" t="s">
        <v>353</v>
      </c>
      <c r="C83" s="133"/>
      <c r="D83" s="133"/>
      <c r="E83" s="133"/>
      <c r="F83" s="133"/>
      <c r="G83" s="133"/>
      <c r="H83" s="4"/>
    </row>
    <row r="84" customFormat="false" ht="19.5" hidden="false" customHeight="true" outlineLevel="0" collapsed="false">
      <c r="A84" s="56"/>
      <c r="B84" s="70" t="s">
        <v>306</v>
      </c>
      <c r="C84" s="56"/>
      <c r="D84" s="56"/>
      <c r="E84" s="56"/>
      <c r="F84" s="56"/>
      <c r="G84" s="56"/>
      <c r="H84" s="56"/>
    </row>
    <row r="85" customFormat="false" ht="36" hidden="false" customHeight="true" outlineLevel="0" collapsed="false">
      <c r="A85" s="4"/>
      <c r="B85" s="133" t="s">
        <v>354</v>
      </c>
      <c r="C85" s="133"/>
      <c r="D85" s="133"/>
      <c r="E85" s="133"/>
      <c r="F85" s="133"/>
      <c r="G85" s="133"/>
      <c r="H85" s="4"/>
    </row>
    <row r="86" customFormat="false" ht="27.75" hidden="false" customHeight="true" outlineLevel="0" collapsed="false">
      <c r="A86" s="56"/>
      <c r="B86" s="70" t="s">
        <v>308</v>
      </c>
      <c r="C86" s="149" t="s">
        <v>355</v>
      </c>
      <c r="D86" s="149"/>
      <c r="E86" s="149"/>
      <c r="F86" s="149"/>
      <c r="G86" s="149"/>
      <c r="H86" s="56"/>
    </row>
    <row r="87" customFormat="false" ht="13.5" hidden="false" customHeight="true" outlineLevel="0" collapsed="false">
      <c r="A87" s="4"/>
      <c r="B87" s="4"/>
      <c r="C87" s="4"/>
      <c r="D87" s="4"/>
      <c r="E87" s="4"/>
      <c r="F87" s="4"/>
      <c r="G87" s="4"/>
      <c r="H87" s="4"/>
    </row>
    <row r="88" customFormat="false" ht="21.75" hidden="false" customHeight="true" outlineLevel="0" collapsed="false">
      <c r="A88" s="34" t="s">
        <v>356</v>
      </c>
      <c r="B88" s="34"/>
      <c r="C88" s="34"/>
      <c r="D88" s="34"/>
      <c r="E88" s="34"/>
      <c r="F88" s="34"/>
      <c r="G88" s="34"/>
      <c r="H88" s="34"/>
    </row>
  </sheetData>
  <mergeCells count="64">
    <mergeCell ref="A2:H2"/>
    <mergeCell ref="A3:H3"/>
    <mergeCell ref="B6:G6"/>
    <mergeCell ref="A8:H8"/>
    <mergeCell ref="B9:G9"/>
    <mergeCell ref="B10:G10"/>
    <mergeCell ref="B11:G11"/>
    <mergeCell ref="B12:G12"/>
    <mergeCell ref="B13:G13"/>
    <mergeCell ref="B14:G14"/>
    <mergeCell ref="B15:G15"/>
    <mergeCell ref="B17:G17"/>
    <mergeCell ref="B19:G19"/>
    <mergeCell ref="B21:G21"/>
    <mergeCell ref="C22:G22"/>
    <mergeCell ref="A24:H24"/>
    <mergeCell ref="B25:G25"/>
    <mergeCell ref="B26:G26"/>
    <mergeCell ref="B27:G27"/>
    <mergeCell ref="B28:G28"/>
    <mergeCell ref="B29:G29"/>
    <mergeCell ref="B30:G30"/>
    <mergeCell ref="B31:G31"/>
    <mergeCell ref="B33:G33"/>
    <mergeCell ref="B35:G35"/>
    <mergeCell ref="B37:G37"/>
    <mergeCell ref="C38:G38"/>
    <mergeCell ref="A40:H40"/>
    <mergeCell ref="B41:G41"/>
    <mergeCell ref="B42:G42"/>
    <mergeCell ref="B43:G43"/>
    <mergeCell ref="B44:G44"/>
    <mergeCell ref="B45:G45"/>
    <mergeCell ref="B46:G46"/>
    <mergeCell ref="B47:G47"/>
    <mergeCell ref="B49:G49"/>
    <mergeCell ref="B51:G51"/>
    <mergeCell ref="B53:G53"/>
    <mergeCell ref="C54:G54"/>
    <mergeCell ref="A56:H56"/>
    <mergeCell ref="B57:G57"/>
    <mergeCell ref="B58:G58"/>
    <mergeCell ref="B59:G59"/>
    <mergeCell ref="B60:G60"/>
    <mergeCell ref="B61:G61"/>
    <mergeCell ref="B62:G62"/>
    <mergeCell ref="B63:G63"/>
    <mergeCell ref="B65:G65"/>
    <mergeCell ref="B67:G67"/>
    <mergeCell ref="B69:G69"/>
    <mergeCell ref="C70:G70"/>
    <mergeCell ref="A72:H72"/>
    <mergeCell ref="B73:G73"/>
    <mergeCell ref="B74:G74"/>
    <mergeCell ref="B75:G75"/>
    <mergeCell ref="B76:G76"/>
    <mergeCell ref="B77:G77"/>
    <mergeCell ref="B78:G78"/>
    <mergeCell ref="B79:G79"/>
    <mergeCell ref="B81:G81"/>
    <mergeCell ref="B83:G83"/>
    <mergeCell ref="B85:G85"/>
    <mergeCell ref="C86:G86"/>
    <mergeCell ref="A88:H8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7F17"/>
    <pageSetUpPr fitToPage="fals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7" min="7" style="0" width="6"/>
    <col collapsed="false" customWidth="true" hidden="false" outlineLevel="0" max="8" min="8" style="0" width="3"/>
  </cols>
  <sheetData>
    <row r="1" customFormat="false" ht="6" hidden="false" customHeight="true" outlineLevel="0" collapsed="false">
      <c r="A1" s="150"/>
      <c r="B1" s="150"/>
      <c r="C1" s="150"/>
      <c r="D1" s="150"/>
      <c r="E1" s="150"/>
      <c r="F1" s="150"/>
      <c r="G1" s="150"/>
      <c r="H1" s="150"/>
    </row>
    <row r="2" customFormat="false" ht="48" hidden="false" customHeight="true" outlineLevel="0" collapsed="false">
      <c r="A2" s="151" t="s">
        <v>357</v>
      </c>
      <c r="B2" s="151"/>
      <c r="C2" s="151"/>
      <c r="D2" s="151"/>
      <c r="E2" s="151"/>
      <c r="F2" s="151"/>
      <c r="G2" s="151"/>
      <c r="H2" s="151"/>
    </row>
    <row r="3" customFormat="false" ht="25.5" hidden="false" customHeight="true" outlineLevel="0" collapsed="false">
      <c r="A3" s="152" t="s">
        <v>358</v>
      </c>
      <c r="B3" s="152"/>
      <c r="C3" s="152"/>
      <c r="D3" s="152"/>
      <c r="E3" s="152"/>
      <c r="F3" s="152"/>
      <c r="G3" s="152"/>
      <c r="H3" s="152"/>
    </row>
    <row r="4" customFormat="false" ht="6" hidden="false" customHeight="true" outlineLevel="0" collapsed="false">
      <c r="A4" s="150"/>
      <c r="B4" s="150"/>
      <c r="C4" s="150"/>
      <c r="D4" s="150"/>
      <c r="E4" s="150"/>
      <c r="F4" s="150"/>
      <c r="G4" s="150"/>
      <c r="H4" s="150"/>
    </row>
    <row r="5" customFormat="false" ht="9.75" hidden="false" customHeight="tru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21.75" hidden="false" customHeight="true" outlineLevel="0" collapsed="false">
      <c r="A6" s="153"/>
      <c r="B6" s="154" t="s">
        <v>359</v>
      </c>
      <c r="C6" s="154"/>
      <c r="D6" s="154"/>
      <c r="E6" s="154"/>
      <c r="F6" s="154"/>
      <c r="G6" s="154"/>
      <c r="H6" s="153"/>
    </row>
    <row r="7" customFormat="false" ht="7.5" hidden="false" customHeight="tru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25.5" hidden="false" customHeight="true" outlineLevel="0" collapsed="false">
      <c r="A8" s="38"/>
      <c r="B8" s="39" t="s">
        <v>360</v>
      </c>
      <c r="C8" s="40" t="s">
        <v>161</v>
      </c>
      <c r="D8" s="40" t="s">
        <v>187</v>
      </c>
      <c r="E8" s="39" t="s">
        <v>361</v>
      </c>
      <c r="F8" s="40" t="s">
        <v>104</v>
      </c>
      <c r="G8" s="38"/>
      <c r="H8" s="38"/>
    </row>
    <row r="9" customFormat="false" ht="25.5" hidden="false" customHeight="true" outlineLevel="0" collapsed="false">
      <c r="A9" s="4"/>
      <c r="B9" s="53" t="s">
        <v>362</v>
      </c>
      <c r="C9" s="155"/>
      <c r="D9" s="155"/>
      <c r="E9" s="156" t="s">
        <v>363</v>
      </c>
      <c r="F9" s="65" t="str">
        <f aca="false">IFERROR(IF(ABS(C9-D9)&lt;=1,"✅ Aligned",IF(ABS(C9-D9)&lt;=2,"⚠️ Close","🔴 Discuss")),"—")</f>
        <v>✅ Aligned</v>
      </c>
      <c r="G9" s="4"/>
      <c r="H9" s="4"/>
    </row>
    <row r="10" customFormat="false" ht="25.5" hidden="false" customHeight="true" outlineLevel="0" collapsed="false">
      <c r="A10" s="153"/>
      <c r="B10" s="157" t="s">
        <v>364</v>
      </c>
      <c r="C10" s="155"/>
      <c r="D10" s="155"/>
      <c r="E10" s="158" t="s">
        <v>365</v>
      </c>
      <c r="F10" s="159" t="str">
        <f aca="false">IFERROR(IF(ABS(C10-D10)&lt;=1,"✅ Aligned",IF(ABS(C10-D10)&lt;=2,"⚠️ Close","🔴 Discuss")),"—")</f>
        <v>✅ Aligned</v>
      </c>
      <c r="G10" s="153"/>
      <c r="H10" s="153"/>
    </row>
    <row r="11" customFormat="false" ht="25.5" hidden="false" customHeight="true" outlineLevel="0" collapsed="false">
      <c r="A11" s="4"/>
      <c r="B11" s="53" t="s">
        <v>366</v>
      </c>
      <c r="C11" s="155"/>
      <c r="D11" s="155"/>
      <c r="E11" s="156" t="s">
        <v>367</v>
      </c>
      <c r="F11" s="65" t="str">
        <f aca="false">IFERROR(IF(ABS(C11-D11)&lt;=1,"✅ Aligned",IF(ABS(C11-D11)&lt;=2,"⚠️ Close","🔴 Discuss")),"—")</f>
        <v>✅ Aligned</v>
      </c>
      <c r="G11" s="4"/>
      <c r="H11" s="4"/>
    </row>
    <row r="12" customFormat="false" ht="25.5" hidden="false" customHeight="true" outlineLevel="0" collapsed="false">
      <c r="A12" s="153"/>
      <c r="B12" s="157" t="s">
        <v>368</v>
      </c>
      <c r="C12" s="155"/>
      <c r="D12" s="155"/>
      <c r="E12" s="158" t="s">
        <v>369</v>
      </c>
      <c r="F12" s="159" t="str">
        <f aca="false">IFERROR(IF(ABS(C12-D12)&lt;=1,"✅ Aligned",IF(ABS(C12-D12)&lt;=2,"⚠️ Close","🔴 Discuss")),"—")</f>
        <v>✅ Aligned</v>
      </c>
      <c r="G12" s="153"/>
      <c r="H12" s="153"/>
    </row>
    <row r="13" customFormat="false" ht="25.5" hidden="false" customHeight="true" outlineLevel="0" collapsed="false">
      <c r="A13" s="4"/>
      <c r="B13" s="53" t="s">
        <v>370</v>
      </c>
      <c r="C13" s="155"/>
      <c r="D13" s="155"/>
      <c r="E13" s="156" t="s">
        <v>371</v>
      </c>
      <c r="F13" s="65" t="str">
        <f aca="false">IFERROR(IF(ABS(C13-D13)&lt;=1,"✅ Aligned",IF(ABS(C13-D13)&lt;=2,"⚠️ Close","🔴 Discuss")),"—")</f>
        <v>✅ Aligned</v>
      </c>
      <c r="G13" s="4"/>
      <c r="H13" s="4"/>
    </row>
    <row r="14" customFormat="false" ht="25.5" hidden="false" customHeight="true" outlineLevel="0" collapsed="false">
      <c r="A14" s="153"/>
      <c r="B14" s="157" t="s">
        <v>372</v>
      </c>
      <c r="C14" s="155"/>
      <c r="D14" s="155"/>
      <c r="E14" s="158" t="s">
        <v>373</v>
      </c>
      <c r="F14" s="159" t="str">
        <f aca="false">IFERROR(IF(ABS(C14-D14)&lt;=1,"✅ Aligned",IF(ABS(C14-D14)&lt;=2,"⚠️ Close","🔴 Discuss")),"—")</f>
        <v>✅ Aligned</v>
      </c>
      <c r="G14" s="153"/>
      <c r="H14" s="153"/>
    </row>
    <row r="15" customFormat="false" ht="25.5" hidden="false" customHeight="true" outlineLevel="0" collapsed="false">
      <c r="A15" s="4"/>
      <c r="B15" s="53" t="s">
        <v>374</v>
      </c>
      <c r="C15" s="155"/>
      <c r="D15" s="155"/>
      <c r="E15" s="156" t="s">
        <v>375</v>
      </c>
      <c r="F15" s="65" t="str">
        <f aca="false">IFERROR(IF(ABS(C15-D15)&lt;=1,"✅ Aligned",IF(ABS(C15-D15)&lt;=2,"⚠️ Close","🔴 Discuss")),"—")</f>
        <v>✅ Aligned</v>
      </c>
      <c r="G15" s="4"/>
      <c r="H15" s="4"/>
    </row>
    <row r="16" customFormat="false" ht="25.5" hidden="false" customHeight="true" outlineLevel="0" collapsed="false">
      <c r="A16" s="153"/>
      <c r="B16" s="157" t="s">
        <v>376</v>
      </c>
      <c r="C16" s="155"/>
      <c r="D16" s="155"/>
      <c r="E16" s="158" t="s">
        <v>377</v>
      </c>
      <c r="F16" s="159" t="str">
        <f aca="false">IFERROR(IF(ABS(C16-D16)&lt;=1,"✅ Aligned",IF(ABS(C16-D16)&lt;=2,"⚠️ Close","🔴 Discuss")),"—")</f>
        <v>✅ Aligned</v>
      </c>
      <c r="G16" s="153"/>
      <c r="H16" s="153"/>
    </row>
    <row r="17" customFormat="false" ht="25.5" hidden="false" customHeight="true" outlineLevel="0" collapsed="false">
      <c r="A17" s="4"/>
      <c r="B17" s="53" t="s">
        <v>378</v>
      </c>
      <c r="C17" s="155"/>
      <c r="D17" s="155"/>
      <c r="E17" s="156" t="s">
        <v>379</v>
      </c>
      <c r="F17" s="65" t="str">
        <f aca="false">IFERROR(IF(ABS(C17-D17)&lt;=1,"✅ Aligned",IF(ABS(C17-D17)&lt;=2,"⚠️ Close","🔴 Discuss")),"—")</f>
        <v>✅ Aligned</v>
      </c>
      <c r="G17" s="4"/>
      <c r="H17" s="4"/>
    </row>
    <row r="18" customFormat="false" ht="25.5" hidden="false" customHeight="true" outlineLevel="0" collapsed="false">
      <c r="A18" s="153"/>
      <c r="B18" s="157" t="s">
        <v>380</v>
      </c>
      <c r="C18" s="155"/>
      <c r="D18" s="155"/>
      <c r="E18" s="158" t="s">
        <v>381</v>
      </c>
      <c r="F18" s="159" t="str">
        <f aca="false">IFERROR(IF(ABS(C18-D18)&lt;=1,"✅ Aligned",IF(ABS(C18-D18)&lt;=2,"⚠️ Close","🔴 Discuss")),"—")</f>
        <v>✅ Aligned</v>
      </c>
      <c r="G18" s="153"/>
      <c r="H18" s="153"/>
    </row>
    <row r="19" customFormat="false" ht="25.5" hidden="false" customHeight="true" outlineLevel="0" collapsed="false">
      <c r="A19" s="4"/>
      <c r="B19" s="53" t="s">
        <v>382</v>
      </c>
      <c r="C19" s="155"/>
      <c r="D19" s="155"/>
      <c r="E19" s="156" t="s">
        <v>383</v>
      </c>
      <c r="F19" s="65" t="str">
        <f aca="false">IFERROR(IF(ABS(C19-D19)&lt;=1,"✅ Aligned",IF(ABS(C19-D19)&lt;=2,"⚠️ Close","🔴 Discuss")),"—")</f>
        <v>✅ Aligned</v>
      </c>
      <c r="G19" s="4"/>
      <c r="H19" s="4"/>
    </row>
    <row r="20" customFormat="false" ht="25.5" hidden="false" customHeight="true" outlineLevel="0" collapsed="false">
      <c r="A20" s="153"/>
      <c r="B20" s="157" t="s">
        <v>384</v>
      </c>
      <c r="C20" s="155"/>
      <c r="D20" s="155"/>
      <c r="E20" s="158" t="s">
        <v>385</v>
      </c>
      <c r="F20" s="159" t="str">
        <f aca="false">IFERROR(IF(ABS(C20-D20)&lt;=1,"✅ Aligned",IF(ABS(C20-D20)&lt;=2,"⚠️ Close","🔴 Discuss")),"—")</f>
        <v>✅ Aligned</v>
      </c>
      <c r="G20" s="153"/>
      <c r="H20" s="153"/>
    </row>
    <row r="21" customFormat="false" ht="12" hidden="false" customHeight="tru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24" hidden="false" customHeight="true" outlineLevel="0" collapsed="false">
      <c r="A22" s="160" t="s">
        <v>386</v>
      </c>
      <c r="B22" s="160"/>
      <c r="C22" s="160"/>
      <c r="D22" s="160"/>
      <c r="E22" s="160"/>
      <c r="F22" s="160"/>
      <c r="G22" s="160"/>
      <c r="H22" s="160"/>
    </row>
    <row r="23" customFormat="false" ht="21.75" hidden="false" customHeight="true" outlineLevel="0" collapsed="false">
      <c r="A23" s="4"/>
      <c r="B23" s="161" t="s">
        <v>387</v>
      </c>
      <c r="C23" s="4"/>
      <c r="D23" s="4"/>
      <c r="E23" s="4"/>
      <c r="F23" s="4"/>
      <c r="G23" s="4"/>
      <c r="H23" s="4"/>
    </row>
    <row r="24" customFormat="false" ht="36" hidden="false" customHeight="true" outlineLevel="0" collapsed="false">
      <c r="A24" s="4"/>
      <c r="B24" s="30" t="s">
        <v>388</v>
      </c>
      <c r="C24" s="30"/>
      <c r="D24" s="30"/>
      <c r="E24" s="30"/>
      <c r="F24" s="30"/>
      <c r="G24" s="30"/>
      <c r="H24" s="4"/>
    </row>
    <row r="25" customFormat="false" ht="21.75" hidden="false" customHeight="true" outlineLevel="0" collapsed="false">
      <c r="A25" s="153"/>
      <c r="B25" s="162" t="s">
        <v>389</v>
      </c>
      <c r="C25" s="153"/>
      <c r="D25" s="153"/>
      <c r="E25" s="153"/>
      <c r="F25" s="153"/>
      <c r="G25" s="153"/>
      <c r="H25" s="153"/>
    </row>
    <row r="26" customFormat="false" ht="36" hidden="false" customHeight="true" outlineLevel="0" collapsed="false">
      <c r="A26" s="153"/>
      <c r="B26" s="163" t="s">
        <v>390</v>
      </c>
      <c r="C26" s="163"/>
      <c r="D26" s="163"/>
      <c r="E26" s="163"/>
      <c r="F26" s="163"/>
      <c r="G26" s="163"/>
      <c r="H26" s="153"/>
    </row>
    <row r="27" customFormat="false" ht="21.75" hidden="false" customHeight="true" outlineLevel="0" collapsed="false">
      <c r="A27" s="4"/>
      <c r="B27" s="161" t="s">
        <v>391</v>
      </c>
      <c r="C27" s="4"/>
      <c r="D27" s="4"/>
      <c r="E27" s="4"/>
      <c r="F27" s="4"/>
      <c r="G27" s="4"/>
      <c r="H27" s="4"/>
    </row>
    <row r="28" customFormat="false" ht="36" hidden="false" customHeight="true" outlineLevel="0" collapsed="false">
      <c r="A28" s="4"/>
      <c r="B28" s="30" t="s">
        <v>392</v>
      </c>
      <c r="C28" s="30"/>
      <c r="D28" s="30"/>
      <c r="E28" s="30"/>
      <c r="F28" s="30"/>
      <c r="G28" s="30"/>
      <c r="H28" s="4"/>
    </row>
    <row r="29" customFormat="false" ht="21.75" hidden="false" customHeight="true" outlineLevel="0" collapsed="false">
      <c r="A29" s="153"/>
      <c r="B29" s="162" t="s">
        <v>393</v>
      </c>
      <c r="C29" s="153"/>
      <c r="D29" s="153"/>
      <c r="E29" s="153"/>
      <c r="F29" s="153"/>
      <c r="G29" s="153"/>
      <c r="H29" s="153"/>
    </row>
    <row r="30" customFormat="false" ht="36" hidden="false" customHeight="true" outlineLevel="0" collapsed="false">
      <c r="A30" s="153"/>
      <c r="B30" s="163" t="s">
        <v>394</v>
      </c>
      <c r="C30" s="163"/>
      <c r="D30" s="163"/>
      <c r="E30" s="163"/>
      <c r="F30" s="163"/>
      <c r="G30" s="163"/>
      <c r="H30" s="153"/>
    </row>
    <row r="31" customFormat="false" ht="21.75" hidden="false" customHeight="true" outlineLevel="0" collapsed="false">
      <c r="A31" s="4"/>
      <c r="B31" s="161" t="s">
        <v>395</v>
      </c>
      <c r="C31" s="4"/>
      <c r="D31" s="4"/>
      <c r="E31" s="4"/>
      <c r="F31" s="4"/>
      <c r="G31" s="4"/>
      <c r="H31" s="4"/>
    </row>
    <row r="32" customFormat="false" ht="36" hidden="false" customHeight="true" outlineLevel="0" collapsed="false">
      <c r="A32" s="4"/>
      <c r="B32" s="30" t="s">
        <v>396</v>
      </c>
      <c r="C32" s="30"/>
      <c r="D32" s="30"/>
      <c r="E32" s="30"/>
      <c r="F32" s="30"/>
      <c r="G32" s="30"/>
      <c r="H32" s="4"/>
    </row>
    <row r="33" customFormat="false" ht="9.75" hidden="false" customHeight="true" outlineLevel="0" collapsed="false">
      <c r="A33" s="4"/>
      <c r="B33" s="4"/>
      <c r="C33" s="4"/>
      <c r="D33" s="4"/>
      <c r="E33" s="4"/>
      <c r="F33" s="4"/>
      <c r="G33" s="4"/>
      <c r="H33" s="4"/>
    </row>
    <row r="34" customFormat="false" ht="25.5" hidden="false" customHeight="true" outlineLevel="0" collapsed="false">
      <c r="A34" s="164" t="s">
        <v>397</v>
      </c>
      <c r="B34" s="164"/>
      <c r="C34" s="164"/>
      <c r="D34" s="164"/>
      <c r="E34" s="164"/>
      <c r="F34" s="164"/>
      <c r="G34" s="164"/>
      <c r="H34" s="164"/>
    </row>
    <row r="35" customFormat="false" ht="60" hidden="false" customHeight="true" outlineLevel="0" collapsed="false">
      <c r="A35" s="153"/>
      <c r="B35" s="165" t="s">
        <v>398</v>
      </c>
      <c r="C35" s="165"/>
      <c r="D35" s="165"/>
      <c r="E35" s="165"/>
      <c r="F35" s="165"/>
      <c r="G35" s="165"/>
      <c r="H35" s="153"/>
    </row>
    <row r="36" customFormat="false" ht="7.5" hidden="false" customHeight="true" outlineLevel="0" collapsed="false">
      <c r="A36" s="4"/>
      <c r="B36" s="4"/>
      <c r="C36" s="4"/>
      <c r="D36" s="4"/>
      <c r="E36" s="4"/>
      <c r="F36" s="4"/>
      <c r="G36" s="4"/>
      <c r="H36" s="4"/>
    </row>
    <row r="37" customFormat="false" ht="21.75" hidden="false" customHeight="true" outlineLevel="0" collapsed="false">
      <c r="A37" s="34" t="s">
        <v>399</v>
      </c>
      <c r="B37" s="34"/>
      <c r="C37" s="34"/>
      <c r="D37" s="34"/>
      <c r="E37" s="34"/>
      <c r="F37" s="34"/>
      <c r="G37" s="34"/>
      <c r="H37" s="34"/>
    </row>
  </sheetData>
  <mergeCells count="12">
    <mergeCell ref="A2:H2"/>
    <mergeCell ref="A3:H3"/>
    <mergeCell ref="B6:G6"/>
    <mergeCell ref="A22:H22"/>
    <mergeCell ref="B24:G24"/>
    <mergeCell ref="B26:G26"/>
    <mergeCell ref="B28:G28"/>
    <mergeCell ref="B30:G30"/>
    <mergeCell ref="B32:G32"/>
    <mergeCell ref="A34:H34"/>
    <mergeCell ref="B35:G35"/>
    <mergeCell ref="A37:H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2026-03-30T21:36:12Z</dcterms:created>
  <dc:creator>openpyxl</dc:creator>
  <dc:description/>
  <dc:language>en-US</dc:language>
  <cp:lastModifiedBy/>
  <dcterms:modified xsi:type="dcterms:W3CDTF">2026-03-30T21:36:12Z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