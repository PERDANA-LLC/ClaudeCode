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Bill Audit" sheetId="2" state="visible" r:id="rId4"/>
    <sheet name="Prioritized Call List" sheetId="3" state="visible" r:id="rId5"/>
    <sheet name="Call Scripts" sheetId="4" state="visible" r:id="rId6"/>
    <sheet name="Cancel-Retention Guide" sheetId="5" state="visible" r:id="rId7"/>
    <sheet name="Win Tracker" sheetId="6" state="visible" r:id="rId8"/>
    <sheet name="Annual Re-Audi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<sst xmlns="http://schemas.openxmlformats.org/spreadsheetml/2006/main" count="416" uniqueCount="296">
  <si>
    <t xml:space="preserve">Negotiate Your Bills Down $200/Month — One Weekend System</t>
  </si>
  <si>
    <t xml:space="preserve">Fill in your bills and 4 inputs. The system ranks your top calls and loads the scripts.</t>
  </si>
  <si>
    <t xml:space="preserve">YOUR INPUTS — Fill in the yellow cells</t>
  </si>
  <si>
    <t xml:space="preserve">Input 3</t>
  </si>
  <si>
    <t xml:space="preserve">Willing to threaten cancellation?</t>
  </si>
  <si>
    <t xml:space="preserve">Yes</t>
  </si>
  <si>
    <t xml:space="preserve">Yes / Maybe / No — routes you to the stronger or softer script</t>
  </si>
  <si>
    <t xml:space="preserve">Input 4</t>
  </si>
  <si>
    <t xml:space="preserve">Have you negotiated bills before?</t>
  </si>
  <si>
    <t xml:space="preserve">No</t>
  </si>
  <si>
    <t xml:space="preserve">Yes / No / Some of them — affects script detail level</t>
  </si>
  <si>
    <t xml:space="preserve">Input 5</t>
  </si>
  <si>
    <t xml:space="preserve">Monthly savings target</t>
  </si>
  <si>
    <t xml:space="preserve">How much do you want back per month? ($50–$300+)</t>
  </si>
  <si>
    <t xml:space="preserve">SAVINGS SUMMARY — Auto-calculated from your Bill Audit</t>
  </si>
  <si>
    <t xml:space="preserve">Total bills entered</t>
  </si>
  <si>
    <t xml:space="preserve">Bills marked negotiable</t>
  </si>
  <si>
    <t xml:space="preserve">Est. total monthly savings</t>
  </si>
  <si>
    <t xml:space="preserve">Est. annual savings</t>
  </si>
  <si>
    <t xml:space="preserve">Target vs. estimate</t>
  </si>
  <si>
    <t xml:space="preserve">HOW TO USE THIS WORKBOOK</t>
  </si>
  <si>
    <t xml:space="preserve">Fill in 3 yellow inputs above, then enter your bills in the Bill Audit tab. The system ranks your top calls, loads your scripts, and tracks every dollar you win back.</t>
  </si>
  <si>
    <t xml:space="preserve">STEP 1</t>
  </si>
  <si>
    <t xml:space="preserve">Fill in inputs above + enter bills in Bill Audit tab</t>
  </si>
  <si>
    <t xml:space="preserve">→</t>
  </si>
  <si>
    <t xml:space="preserve">Input 3 — your willingness to threaten cancellation routes you to the stronger or softer script version.</t>
  </si>
  <si>
    <t xml:space="preserve">Input 4 — negotiation experience determines script detail level (beginner = every word, experienced = condensed).</t>
  </si>
  <si>
    <t xml:space="preserve">Input 5 — your savings target helps the system tell you how many calls you need to make.</t>
  </si>
  <si>
    <t xml:space="preserve">Go to the Bill Audit tab and enter every recurring bill: name, provider, current amount, how long you've been a customer.</t>
  </si>
  <si>
    <t xml:space="preserve">Mark each bill Yes/No in the 'Negotiate?' column — leave No for anything you consider untouchable.</t>
  </si>
  <si>
    <t xml:space="preserve">STEP 2</t>
  </si>
  <si>
    <t xml:space="preserve">Check your Prioritized Call List tab — make call #1 this weekend</t>
  </si>
  <si>
    <t xml:space="preserve">The Prioritized Call List tab ranks your top 5 bills by savings potential × ease of negotiation.</t>
  </si>
  <si>
    <t xml:space="preserve">Start with the #1 ranked bill — it gives you the most savings for the least effort.</t>
  </si>
  <si>
    <t xml:space="preserve">Best calling times: Tuesday–Thursday, 10am–2pm. Avoid Mondays and Fridays.</t>
  </si>
  <si>
    <t xml:space="preserve">Open the Call Scripts tab, find the script for your bill type, and use it during the call.</t>
  </si>
  <si>
    <t xml:space="preserve">You do not need to read scripts in advance — they're designed to be followed live during the call.</t>
  </si>
  <si>
    <t xml:space="preserve">STEP 3</t>
  </si>
  <si>
    <t xml:space="preserve">Use the Call Scripts tab during each call</t>
  </si>
  <si>
    <t xml:space="preserve">Each script has 6 stages: opener → situation → ask → objection 1 → objection 2 → close.</t>
  </si>
  <si>
    <t xml:space="preserve">Two versions per bill type: 'Cancel Leverage' (Input 3 = Yes/Maybe) or 'Polite Ask' (Input 3 = No).</t>
  </si>
  <si>
    <t xml:space="preserve">Read from the script — reps hear hundreds of calls daily, they won't know you're using a script.</t>
  </si>
  <si>
    <t xml:space="preserve">If they transfer you to retention, that's a win — retention reps have more authority to reduce rates.</t>
  </si>
  <si>
    <t xml:space="preserve">See the Cancel/Retention Guide tab if you're not sure how to handle a retention offer.</t>
  </si>
  <si>
    <t xml:space="preserve">STEP 4</t>
  </si>
  <si>
    <t xml:space="preserve">Log every result in the Win Tracker tab</t>
  </si>
  <si>
    <t xml:space="preserve">After each call, open the Win Tracker tab and log: old rate, new rate, savings/mo, rep name, call date.</t>
  </si>
  <si>
    <t xml:space="preserve">The tracker auto-calculates your running monthly savings total and annual savings.</t>
  </si>
  <si>
    <t xml:space="preserve">The 'Next Renegotiate' column auto-fills 12 months from today — set a calendar reminder.</t>
  </si>
  <si>
    <t xml:space="preserve">Even a 'No' result is worth logging — note what they said so you know when to try again.</t>
  </si>
  <si>
    <t xml:space="preserve">When your monthly savings total hits your Input 5 target — you're done for the weekend.</t>
  </si>
  <si>
    <t xml:space="preserve">COLOR LEGEND</t>
  </si>
  <si>
    <t xml:space="preserve">Yellow cell</t>
  </si>
  <si>
    <t xml:space="preserve">Your input — fill this in</t>
  </si>
  <si>
    <t xml:space="preserve">Teal cell</t>
  </si>
  <si>
    <t xml:space="preserve">Auto-calculated — do not edit</t>
  </si>
  <si>
    <t xml:space="preserve">Amber cell</t>
  </si>
  <si>
    <t xml:space="preserve">Action item / tip</t>
  </si>
  <si>
    <t xml:space="preserve">Purple cell</t>
  </si>
  <si>
    <t xml:space="preserve">Label / category tag</t>
  </si>
  <si>
    <t xml:space="preserve">Gray cell</t>
  </si>
  <si>
    <t xml:space="preserve">Pre-filled reference data</t>
  </si>
  <si>
    <t xml:space="preserve">Green cell</t>
  </si>
  <si>
    <t xml:space="preserve">Win logged / savings confirmed</t>
  </si>
  <si>
    <t xml:space="preserve">Weekend plan: 2 calls Saturday + 2 calls Sunday = $150–300/mo saved. Average call time: 10–15 minutes.</t>
  </si>
  <si>
    <t xml:space="preserve">Bill Audit — Enter Every Recurring Bill</t>
  </si>
  <si>
    <t xml:space="preserve">List all bills. Mark 'Yes' to negotiate. The system estimates savings and feeds your prioritized call list.</t>
  </si>
  <si>
    <t xml:space="preserve">#</t>
  </si>
  <si>
    <t xml:space="preserve">Bill / Service Name</t>
  </si>
  <si>
    <t xml:space="preserve">Provider (company name)</t>
  </si>
  <si>
    <t xml:space="preserve">Monthly Amount</t>
  </si>
  <si>
    <t xml:space="preserve">Years w/ Provider</t>
  </si>
  <si>
    <t xml:space="preserve">Negotiate?</t>
  </si>
  <si>
    <t xml:space="preserve">Est. Savings/Mo</t>
  </si>
  <si>
    <t xml:space="preserve">Category</t>
  </si>
  <si>
    <t xml:space="preserve">Script Tab</t>
  </si>
  <si>
    <t xml:space="preserve">Internet / Cable</t>
  </si>
  <si>
    <t xml:space="preserve">Xfinity</t>
  </si>
  <si>
    <t xml:space="preserve">Call Scripts</t>
  </si>
  <si>
    <t xml:space="preserve">Cell Phone</t>
  </si>
  <si>
    <t xml:space="preserve">Verizon</t>
  </si>
  <si>
    <t xml:space="preserve">Car Insurance</t>
  </si>
  <si>
    <t xml:space="preserve">State Farm</t>
  </si>
  <si>
    <t xml:space="preserve">Home Insurance</t>
  </si>
  <si>
    <t xml:space="preserve">Allstate</t>
  </si>
  <si>
    <t xml:space="preserve">Streaming Service</t>
  </si>
  <si>
    <t xml:space="preserve">Netflix</t>
  </si>
  <si>
    <t xml:space="preserve">Gym Membership</t>
  </si>
  <si>
    <t xml:space="preserve">Planet Fitness</t>
  </si>
  <si>
    <t xml:space="preserve">Credit Card Annual Fee</t>
  </si>
  <si>
    <t xml:space="preserve">Chase Sapphire</t>
  </si>
  <si>
    <t xml:space="preserve">Home Security</t>
  </si>
  <si>
    <t xml:space="preserve">ADT</t>
  </si>
  <si>
    <t xml:space="preserve">Software Subscription</t>
  </si>
  <si>
    <t xml:space="preserve">Adobe CC</t>
  </si>
  <si>
    <t xml:space="preserve">Medical Bill</t>
  </si>
  <si>
    <t xml:space="preserve">City Hospital</t>
  </si>
  <si>
    <t xml:space="preserve">TOTALS</t>
  </si>
  <si>
    <t xml:space="preserve">Tip: Enter 'Yes' in Negotiate? for any bill you're willing to call about. Enter 'No' for anything untouchable. The system only estimates savings for Yes bills.</t>
  </si>
  <si>
    <t xml:space="preserve">Prioritized Call List — Your Weekend Battle Plan</t>
  </si>
  <si>
    <t xml:space="preserve">Top 5 bills ranked by savings potential. Make these calls first. Estimated savings shown per call.</t>
  </si>
  <si>
    <t xml:space="preserve">Rank</t>
  </si>
  <si>
    <t xml:space="preserve">Bill Name</t>
  </si>
  <si>
    <t xml:space="preserve">Provider</t>
  </si>
  <si>
    <t xml:space="preserve">Call Time</t>
  </si>
  <si>
    <t xml:space="preserve">Difficulty</t>
  </si>
  <si>
    <t xml:space="preserve">Script to Use</t>
  </si>
  <si>
    <t xml:space="preserve">Weekend</t>
  </si>
  <si>
    <t xml:space="preserve">10–15 min</t>
  </si>
  <si>
    <t xml:space="preserve">Easy</t>
  </si>
  <si>
    <t xml:space="preserve">Saturday AM</t>
  </si>
  <si>
    <t xml:space="preserve">10 min</t>
  </si>
  <si>
    <t xml:space="preserve">Saturday PM</t>
  </si>
  <si>
    <t xml:space="preserve">15 min</t>
  </si>
  <si>
    <t xml:space="preserve">Medium</t>
  </si>
  <si>
    <t xml:space="preserve">Sunday AM</t>
  </si>
  <si>
    <t xml:space="preserve">8 min</t>
  </si>
  <si>
    <t xml:space="preserve">Sunday PM</t>
  </si>
  <si>
    <t xml:space="preserve">Est. total if all 5 succeed</t>
  </si>
  <si>
    <t xml:space="preserve">REMAINING BILLS — Lower priority, call after top 5</t>
  </si>
  <si>
    <t xml:space="preserve">6</t>
  </si>
  <si>
    <t xml:space="preserve">5–8 min</t>
  </si>
  <si>
    <t xml:space="preserve">7</t>
  </si>
  <si>
    <t xml:space="preserve">5 min</t>
  </si>
  <si>
    <t xml:space="preserve">8</t>
  </si>
  <si>
    <t xml:space="preserve">12 min</t>
  </si>
  <si>
    <t xml:space="preserve">9</t>
  </si>
  <si>
    <t xml:space="preserve">10</t>
  </si>
  <si>
    <t xml:space="preserve">11</t>
  </si>
  <si>
    <t xml:space="preserve">Lawn / Pest Service</t>
  </si>
  <si>
    <t xml:space="preserve">12</t>
  </si>
  <si>
    <t xml:space="preserve">Utility (Electric/Gas)</t>
  </si>
  <si>
    <t xml:space="preserve">13</t>
  </si>
  <si>
    <t xml:space="preserve">Health Insurance</t>
  </si>
  <si>
    <t xml:space="preserve">20 min</t>
  </si>
  <si>
    <t xml:space="preserve">Hard</t>
  </si>
  <si>
    <t xml:space="preserve">14</t>
  </si>
  <si>
    <t xml:space="preserve">Magazine / News Sub</t>
  </si>
  <si>
    <t xml:space="preserve">Best call times: Tue–Thu, 10am–2pm. Always ask to speak with the retention or loyalty department — they have more authority.</t>
  </si>
  <si>
    <t xml:space="preserve">Call Scripts — Word for Word</t>
  </si>
  <si>
    <t xml:space="preserve">Use during the call. Find your bill type, choose Cancel Leverage or Polite Ask based on Input 3. Read as you go.</t>
  </si>
  <si>
    <t xml:space="preserve">Script: Internet / Cable</t>
  </si>
  <si>
    <t xml:space="preserve">CANCEL LEVERAGE VERSION (Input 3 = Yes/Maybe)</t>
  </si>
  <si>
    <t xml:space="preserve">Before you call</t>
  </si>
  <si>
    <t xml:space="preserve">Have ready: account number, current monthly rate, a competitor's current advertised price (Google '[provider] new customer deals' first). Best to call Tuesday–Thursday 10am–2pm.</t>
  </si>
  <si>
    <t xml:space="preserve">Opener</t>
  </si>
  <si>
    <t xml:space="preserve">"Hi, my name is [your name] and my account number is [number]. I've been a customer for [X years] and I'm currently paying $[amount] per month. I'm reviewing my bills today and I'd like to discuss my rate."</t>
  </si>
  <si>
    <t xml:space="preserve">The ask</t>
  </si>
  <si>
    <t xml:space="preserve">"I've been looking at current promotions and I'm seeing new customers get [service] for $[competitor price]. I'd like to either match that rate or I'll need to start the cancellation process."</t>
  </si>
  <si>
    <t xml:space="preserve">If they say no</t>
  </si>
  <si>
    <t xml:space="preserve">"I understand. Can you transfer me to your retention department? I'd prefer to stay but I do need to bring this cost down."</t>
  </si>
  <si>
    <t xml:space="preserve">Retention offer</t>
  </si>
  <si>
    <t xml:space="preserve">If they offer a new rate: "Can you confirm that's locked in for at least 12 months? And can you note this call in my account?" If yes — take it and log in Win Tracker.</t>
  </si>
  <si>
    <t xml:space="preserve">Close</t>
  </si>
  <si>
    <t xml:space="preserve">"Thank you. Can you email me confirmation of the new rate? And what's the best number to call if I need to discuss this again in the future?"</t>
  </si>
  <si>
    <t xml:space="preserve">POLITE ASK VERSION (Input 3 = No)</t>
  </si>
  <si>
    <t xml:space="preserve">"Hi, I've been a customer for [X years] and I'm reviewing my monthly expenses. I was hoping to discuss whether there are any current promotions or loyalty discounts available on my account."</t>
  </si>
  <si>
    <t xml:space="preserve">"Is there anything you can do to reduce my current monthly rate of $[amount]? Even $10–15 per month would make a real difference."</t>
  </si>
  <si>
    <t xml:space="preserve">If they check</t>
  </si>
  <si>
    <t xml:space="preserve">"I really appreciate you looking into that. I'm not looking to cancel — I've been happy with the service — I just want to make sure I'm on the best rate available."</t>
  </si>
  <si>
    <t xml:space="preserve">"Thank you so much. Can you confirm the new rate in writing? I really appreciate you taking the time."</t>
  </si>
  <si>
    <t xml:space="preserve">Script: Cell Phone</t>
  </si>
  <si>
    <t xml:space="preserve">CANCEL LEVERAGE VERSION</t>
  </si>
  <si>
    <t xml:space="preserve">Know your current plan cost, data usage, and a competitor's current deal (T-Mobile and Verizon run promos constantly). Have account number and PIN ready.</t>
  </si>
  <si>
    <t xml:space="preserve">"Hi, account number [X], PIN [X]. I've been a customer for [X years] paying $[amount]/month. I'm comparing plans today and wanted to see what loyalty offers are available before I make a decision."</t>
  </si>
  <si>
    <t xml:space="preserve">"I'm seeing [Competitor] offering [plan] for $[price]. I'd like to stay with you but I need the rate to be competitive. Can you match that or offer something close?"</t>
  </si>
  <si>
    <t xml:space="preserve">If they can't</t>
  </si>
  <si>
    <t xml:space="preserve">"Can you transfer me to your loyalty team? I'd really prefer to stay — I just need a better rate."</t>
  </si>
  <si>
    <t xml:space="preserve">On the new offer</t>
  </si>
  <si>
    <t xml:space="preserve">Ask: "Is that price guaranteed for 12 months? Does it require a new contract?" Log any offer in Win Tracker before accepting.</t>
  </si>
  <si>
    <t xml:space="preserve">POLITE ASK VERSION</t>
  </si>
  <si>
    <t xml:space="preserve">"Hi, I've been a loyal customer for [X years]. I'm trying to reduce my monthly bills and I was hoping you could check if there are any current promotions or plan adjustments that could lower my $[amount]/month rate."</t>
  </si>
  <si>
    <t xml:space="preserve">"I'm not looking to switch — I've been happy with the service. Is there a loyalty discount or a plan restructure that could save me $10–20 a month?"</t>
  </si>
  <si>
    <t xml:space="preserve">Script: Car Insurance</t>
  </si>
  <si>
    <t xml:space="preserve">BEST APPROACH: Annual quote shopping</t>
  </si>
  <si>
    <t xml:space="preserve">Get at least one competing quote first (Progressive, Geico, or a local broker). Even if you don't want to switch, the quote gives you leverage. Have your policy number and current premium ready.</t>
  </si>
  <si>
    <t xml:space="preserve">"Hi, I've been insured with you for [X years] at $[amount]/month. I've been shopping around and I've received a competing quote for less. Before I make any changes, I wanted to give you the opportunity to review my rate."</t>
  </si>
  <si>
    <t xml:space="preserve">"I received a quote for $[amount] from [Competitor] for equivalent coverage. Can you match or beat that rate to keep my business?"</t>
  </si>
  <si>
    <t xml:space="preserve">"I understand you may not be able to match exactly. Are there any discounts I'm currently not receiving — bundling, safe driver, paperless, paid-in-full? Can you run a full discount review?"</t>
  </si>
  <si>
    <t xml:space="preserve">Annual tip</t>
  </si>
  <si>
    <t xml:space="preserve">Ask: "When is the best time to call to review my rate for next renewal?" Set a calendar reminder 30 days before renewal — that's when rates are easiest to renegotiate.</t>
  </si>
  <si>
    <t xml:space="preserve">"Can you send me a revised quote in writing? I'll review and get back to you within [timeframe]."</t>
  </si>
  <si>
    <t xml:space="preserve">Script: Credit Card Annual Fee</t>
  </si>
  <si>
    <t xml:space="preserve">ONE CALL — HIGHEST SUCCESS RATE OF ALL 14 BILLS</t>
  </si>
  <si>
    <t xml:space="preserve">Know your card's annual fee amount, how long you've had the card, and your approximate annual spend on the card. 70–75% success rate — this is the easiest negotiation.</t>
  </si>
  <si>
    <t xml:space="preserve">"Hi, I'm calling about my [card name] account. I just noticed the annual fee of $[amount] posted and I'd like to discuss it."</t>
  </si>
  <si>
    <t xml:space="preserve">"I've been a cardholder for [X years] and I spend approximately $[X]/year on this card. I'm considering whether the fee is worth it for me. Is there anything you can do — waive the fee, offer a statement credit, or reduce it?"</t>
  </si>
  <si>
    <t xml:space="preserve">They often say yes immediately</t>
  </si>
  <si>
    <t xml:space="preserve">"That's great — can you confirm that credit will post within [X] days? And is this available every year or just this time?"</t>
  </si>
  <si>
    <t xml:space="preserve">"I understand. Can you transfer me to your retention department? I'd rather keep the card but I need to make the fee worthwhile."</t>
  </si>
  <si>
    <t xml:space="preserve">Retention may offer: fee waiver, statement credit ($50–$100), bonus points, or a downgrade to no-fee card. All are wins — log in Win Tracker.</t>
  </si>
  <si>
    <t xml:space="preserve">"Thank you. Can you note this on my account and confirm by email?"</t>
  </si>
  <si>
    <t xml:space="preserve">Script: Gym Membership</t>
  </si>
  <si>
    <t xml:space="preserve">CANCEL LEVERAGE VERSION — Easiest call in this kit</t>
  </si>
  <si>
    <t xml:space="preserve">Most gyms have a retention script they use. Be prepared for them to offer 1–3 months free, a reduced rate, or a freeze option. All are negotiable.</t>
  </si>
  <si>
    <t xml:space="preserve">"Hi, I'm calling about my membership at [gym name]. I'm paying $[amount]/month and I'm thinking about cancelling due to cost."</t>
  </si>
  <si>
    <t xml:space="preserve">"Is there a lower-cost tier, a loyalty rate, or anything you can offer to keep me as a member at a reduced rate?"</t>
  </si>
  <si>
    <t xml:space="preserve">If they offer 1 month free</t>
  </si>
  <si>
    <t xml:space="preserve">"I appreciate that. Is there an ongoing reduced monthly rate rather than a temporary offer? I'm looking for a permanent solution."</t>
  </si>
  <si>
    <t xml:space="preserve">If they can't budge</t>
  </si>
  <si>
    <t xml:space="preserve">"I'd like to put in a cancellation request then. Can you start that process?" — They will often escalate to a manager with more authority at this point.</t>
  </si>
  <si>
    <t xml:space="preserve">"Hi, I've been a member for [X years] and I'm trying to reduce my monthly expenses. Is there a loyalty discount, a lower-tier plan, or any current promotions available on my membership?"</t>
  </si>
  <si>
    <t xml:space="preserve">Script: Medical Bill</t>
  </si>
  <si>
    <t xml:space="preserve">HIGHEST SAVINGS POTENTIAL — MEDICAL BILLS ARE THE MOST NEGOTIABLE</t>
  </si>
  <si>
    <t xml:space="preserve">Medical debt is the most negotiable category. Hospitals write off 30–60% regularly. Have the bill number and total amount. Ask to speak with the financial counselor or patient advocate, not the billing department.</t>
  </si>
  <si>
    <t xml:space="preserve">"Hi, I received a bill for $[amount] from [provider] dated [date], bill number [X]. I want to pay this but I'm having difficulty with the full amount. I'd like to discuss my options."</t>
  </si>
  <si>
    <t xml:space="preserve">Lump sum ask</t>
  </si>
  <si>
    <t xml:space="preserve">"I can pay $[40–60% of bill] as a payment in full today if you're able to accept that as settlement. Can you authorize that?"</t>
  </si>
  <si>
    <t xml:space="preserve">Payment plan ask</t>
  </si>
  <si>
    <t xml:space="preserve">"If a reduced lump sum isn't possible, can you set up a payment plan with zero interest? I can pay $[X] per month."</t>
  </si>
  <si>
    <t xml:space="preserve">Always ask</t>
  </si>
  <si>
    <t xml:space="preserve">"Is there a financial hardship program or charity care program I may qualify for? Can I speak with the financial counselor?"</t>
  </si>
  <si>
    <t xml:space="preserve">Key rule</t>
  </si>
  <si>
    <t xml:space="preserve">"I will not make any payment until I receive written confirmation of the agreed amount." — Say this before paying anything. Always get it in writing first.</t>
  </si>
  <si>
    <t xml:space="preserve">"Can you send me confirmation of [the agreed settlement / payment plan] in writing before I provide payment information? I'll process payment as soon as I receive it."</t>
  </si>
  <si>
    <t xml:space="preserve">Cancel / Retention Leverage Guide</t>
  </si>
  <si>
    <t xml:space="preserve">When to threaten. What to say. How to evaluate an offer on the spot. When to actually follow through.</t>
  </si>
  <si>
    <t xml:space="preserve">When to use the cancellation threat</t>
  </si>
  <si>
    <t xml:space="preserve">Use it when:</t>
  </si>
  <si>
    <t xml:space="preserve">You've been a customer 12+ months and never asked for a discount. Your bill has increased in the last 6–12 months. A competitor has a better rate you can verify online.</t>
  </si>
  <si>
    <t xml:space="preserve">Don't use it if:</t>
  </si>
  <si>
    <t xml:space="preserve">You just signed a contract with a termination fee. You genuinely can't switch (e.g., only one ISP in your area). You've already used this tactic with this provider in the last 6 months.</t>
  </si>
  <si>
    <t xml:space="preserve">The psychology:</t>
  </si>
  <si>
    <t xml:space="preserve">Retention departments exist solely to keep customers. They have discount authority the regular billing rep does not. Saying 'cancel' transfers you to where the real deals happen.</t>
  </si>
  <si>
    <t xml:space="preserve">Exact phrasing to use</t>
  </si>
  <si>
    <t xml:space="preserve">Soft version (Maybe):</t>
  </si>
  <si>
    <t xml:space="preserve">"I'm reviewing my bills and I'm considering making some changes. I'd like to explore my options before making a final decision."</t>
  </si>
  <si>
    <t xml:space="preserve">Direct version (Yes):</t>
  </si>
  <si>
    <t xml:space="preserve">"I'd like to start the cancellation process. I'm not getting value at my current rate and I've found a better option."</t>
  </si>
  <si>
    <t xml:space="preserve">Transfer trigger:</t>
  </si>
  <si>
    <t xml:space="preserve">"Can you transfer me to your retention/loyalty department? I'd prefer to stay if there's anything that can be done on the rate."</t>
  </si>
  <si>
    <t xml:space="preserve">Never say:</t>
  </si>
  <si>
    <t xml:space="preserve">"I'm definitely cancelling." — Always leave the door open. The moment you close it, they stop trying to keep you.</t>
  </si>
  <si>
    <t xml:space="preserve">How to evaluate a retention offer on the spot</t>
  </si>
  <si>
    <t xml:space="preserve">Ask 3 questions:</t>
  </si>
  <si>
    <t xml:space="preserve">1. Is this rate locked for 12 months? 2. Does it require a new contract or commitment? 3. What happens to the rate after the promotional period?</t>
  </si>
  <si>
    <t xml:space="preserve">Good offer:</t>
  </si>
  <si>
    <t xml:space="preserve">Rate reduction of 15%+ with no new contract and 12-month guarantee. Take it, log it in Win Tracker, set a 11-month reminder to call again.</t>
  </si>
  <si>
    <t xml:space="preserve">Medium offer:</t>
  </si>
  <si>
    <t xml:space="preserve">Temporary discount (1–3 months free) or one-time credit. Accept only if you can't get a permanent reduction. Ask: 'Is there a permanent rate option too?'</t>
  </si>
  <si>
    <t xml:space="preserve">Bad offer:</t>
  </si>
  <si>
    <t xml:space="preserve">A new 2-year contract to get a lower rate. Avoid — you lose all future negotiation leverage. Counter: 'I'd prefer the discount without a new commitment.'</t>
  </si>
  <si>
    <t xml:space="preserve">No offer at all:</t>
  </si>
  <si>
    <t xml:space="preserve">Politely decline and say you'll need to follow through with cancellation. Then call back 48 hours later — different rep = different outcome often.</t>
  </si>
  <si>
    <t xml:space="preserve">When to actually cancel</t>
  </si>
  <si>
    <t xml:space="preserve">Cancel when:</t>
  </si>
  <si>
    <t xml:space="preserve">The competitor is genuinely better and switching is easy. You've called twice and gotten nothing. The service quality doesn't match the price.</t>
  </si>
  <si>
    <t xml:space="preserve">Re-sign strategy:</t>
  </si>
  <si>
    <t xml:space="preserve">Many providers offer 'win-back' deals to cancelled customers. Cancel → wait 30–60 days → they'll often call with a better deal than any retention offer.</t>
  </si>
  <si>
    <t xml:space="preserve">Before you cancel:</t>
  </si>
  <si>
    <t xml:space="preserve">Confirm: no early termination fee. No equipment return required (or you know the process). New provider is ready to go on cancellation date.</t>
  </si>
  <si>
    <t xml:space="preserve">Log it:</t>
  </si>
  <si>
    <t xml:space="preserve">Even cancelled bills go in the Win Tracker. 'Cancelled Netflix $18/mo' = $216/year saved. Every win counts toward your annual total.</t>
  </si>
  <si>
    <t xml:space="preserve">Win Tracker — Every Dollar Saved, Logged</t>
  </si>
  <si>
    <t xml:space="preserve">Log every negotiation result. Running totals calculate automatically. Reuse this every 12 months.</t>
  </si>
  <si>
    <t xml:space="preserve">Bill / Service</t>
  </si>
  <si>
    <t xml:space="preserve">Old Rate/Mo</t>
  </si>
  <si>
    <t xml:space="preserve">New Rate/Mo</t>
  </si>
  <si>
    <t xml:space="preserve">Savings/Mo</t>
  </si>
  <si>
    <t xml:space="preserve">One-Time Win</t>
  </si>
  <si>
    <t xml:space="preserve">Call Date</t>
  </si>
  <si>
    <t xml:space="preserve">Rep Name</t>
  </si>
  <si>
    <t xml:space="preserve">Result</t>
  </si>
  <si>
    <t xml:space="preserve">Next Renegotiate</t>
  </si>
  <si>
    <t xml:space="preserve">SAVINGS SUMMARY</t>
  </si>
  <si>
    <t xml:space="preserve">Monthly savings secured</t>
  </si>
  <si>
    <t xml:space="preserve">Annual savings (×12)</t>
  </si>
  <si>
    <t xml:space="preserve">One-time wins total</t>
  </si>
  <si>
    <t xml:space="preserve">Total year-1 value</t>
  </si>
  <si>
    <t xml:space="preserve">Calls made</t>
  </si>
  <si>
    <t xml:space="preserve">Success rate</t>
  </si>
  <si>
    <t xml:space="preserve">Result column: enter Won / No Result / Cancelled / Callback Needed. Set calendar reminders from 'Next Renegotiate' column every year.</t>
  </si>
  <si>
    <t xml:space="preserve">Next step: Redirect your monthly savings to your Emergency Fund (product 01) or debt payoff (product 02) — or automate it all with product 09.</t>
  </si>
  <si>
    <t xml:space="preserve">Annual Re-Audit Checklist — Never Overpay Again</t>
  </si>
  <si>
    <t xml:space="preserve">Repeat this 5-step process every 12 months. Most bill savings decay — rates creep back without this.</t>
  </si>
  <si>
    <t xml:space="preserve">Step</t>
  </si>
  <si>
    <t xml:space="preserve">Action</t>
  </si>
  <si>
    <t xml:space="preserve">How to do it</t>
  </si>
  <si>
    <t xml:space="preserve">Done?</t>
  </si>
  <si>
    <t xml:space="preserve">1</t>
  </si>
  <si>
    <t xml:space="preserve">Open Win Tracker and review 'Next Renegotiate' column</t>
  </si>
  <si>
    <t xml:space="preserve">Every bill with a date within the next 30 days is due for a call. Add all of them to your call list for this weekend. Set a recurring annual calendar reminder titled 'Bill Negotiation Weekend.'</t>
  </si>
  <si>
    <t xml:space="preserve">2</t>
  </si>
  <si>
    <t xml:space="preserve">Update the Bill Audit tab with current rates</t>
  </si>
  <si>
    <t xml:space="preserve">Log in to each provider's account or check your bank statement. Update the 'Monthly Amount' column with today's actual rate. Rates often creep up $2–5/mo without notice — this is where you catch them.</t>
  </si>
  <si>
    <t xml:space="preserve">3</t>
  </si>
  <si>
    <t xml:space="preserve">Research competitor rates for top 5 bills</t>
  </si>
  <si>
    <t xml:space="preserve">Spend 20 minutes Googling '[provider] new customer deals 2025' for each top-5 bill. Screenshot or note any promotional prices. These become your leverage for this year's calls.</t>
  </si>
  <si>
    <t xml:space="preserve">4</t>
  </si>
  <si>
    <t xml:space="preserve">Make your top 5 calls — same scripts, updated amounts</t>
  </si>
  <si>
    <t xml:space="preserve">Open the Call Scripts tab. Update the dollar amounts to reflect today's rates. Make the same 5 calls from last year. Providers rotate promotions — what wasn't available last year may be now.</t>
  </si>
  <si>
    <t xml:space="preserve">5</t>
  </si>
  <si>
    <t xml:space="preserve">Log new wins and reset Next Renegotiate dates</t>
  </si>
  <si>
    <t xml:space="preserve">Update the Win Tracker with any new savings. The 'Next Renegotiate' column auto-updates 12 months from your new call dates. Your annual savings total resets — track it fresh each year.</t>
  </si>
  <si>
    <t xml:space="preserve">Calendar reminder template: Set an annual recurring event titled 'Bill Negotiation Weekend — open 04-negotiate-bills.xlsx and follow re-audit checklist.'</t>
  </si>
  <si>
    <t xml:space="preserve">Average person saves $1,800–$3,600/year doing this annually. The system works every year because providers keep raising rates and keep running new promotions.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</si>
</sst>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"/>
    <numFmt numFmtId="167" formatCode="\$#,##0&quot; /yr&quot;"/>
    <numFmt numFmtId="168" formatCode="0%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sz val="10"/>
      <color rgb="FF9FE1C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7F77DD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BA7517"/>
      <name val="Arial"/>
      <family val="0"/>
      <charset val="1"/>
    </font>
    <font>
      <b val="true"/>
      <sz val="10"/>
      <color rgb="FFEF9F27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sz val="10"/>
      <color rgb="FF0C447C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b val="true"/>
      <sz val="10"/>
      <color rgb="FFBA7517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sz val="10"/>
      <color rgb="FF185FA5"/>
      <name val="Arial"/>
      <family val="0"/>
      <charset val="1"/>
    </font>
    <font>
      <sz val="9"/>
      <color rgb="FFBA7517"/>
      <name val="Arial"/>
      <family val="0"/>
      <charset val="1"/>
    </font>
    <font>
      <b val="true"/>
      <sz val="11"/>
      <color rgb="FF085041"/>
      <name val="Arial"/>
      <family val="0"/>
      <charset val="1"/>
    </font>
    <font>
      <sz val="10"/>
      <color rgb="FFFFFFFF"/>
      <name val="Arial"/>
      <family val="0"/>
      <charset val="1"/>
    </font>
    <font>
      <sz val="11"/>
      <color rgb="FFBA7517"/>
      <name val="Arial"/>
      <family val="0"/>
      <charset val="1"/>
    </font>
    <font>
      <b val="true"/>
      <sz val="11"/>
      <color rgb="FFBA7517"/>
      <name val="Arial"/>
      <family val="0"/>
      <charset val="1"/>
    </font>
    <font>
      <b val="true"/>
      <sz val="9"/>
      <color rgb="FF7F77DD"/>
      <name val="Arial"/>
      <family val="0"/>
      <charset val="1"/>
    </font>
    <font>
      <b val="true"/>
      <sz val="9"/>
      <color rgb="FF27500A"/>
      <name val="Arial"/>
      <family val="0"/>
      <charset val="1"/>
    </font>
    <font>
      <sz val="9"/>
      <color rgb="FF185FA5"/>
      <name val="Arial"/>
      <family val="0"/>
      <charset val="1"/>
    </font>
    <font>
      <b val="true"/>
      <sz val="9"/>
      <color rgb="FFBA7517"/>
      <name val="Arial"/>
      <family val="0"/>
      <charset val="1"/>
    </font>
    <font>
      <b val="true"/>
      <sz val="9"/>
      <color rgb="FFA32D2D"/>
      <name val="Arial"/>
      <family val="0"/>
      <charset val="1"/>
    </font>
    <font>
      <sz val="10"/>
      <color rgb="FF085041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3C3489"/>
      <name val="Arial"/>
      <family val="0"/>
      <charset val="1"/>
    </font>
    <font>
      <sz val="10"/>
      <color rgb="FF3C348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3E"/>
        <bgColor rgb="FF1A1A1A"/>
      </patternFill>
    </fill>
    <fill>
      <patternFill patternType="solid">
        <fgColor rgb="FFEF9F27"/>
        <bgColor rgb="FFFFCC00"/>
      </patternFill>
    </fill>
    <fill>
      <patternFill patternType="solid">
        <fgColor rgb="FFEEEDFE"/>
        <bgColor rgb="FFE6F1FB"/>
      </patternFill>
    </fill>
    <fill>
      <patternFill patternType="solid">
        <fgColor rgb="FFF5F5F5"/>
        <bgColor rgb="FFEEEDF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CEBEB"/>
      </patternFill>
    </fill>
    <fill>
      <patternFill patternType="solid">
        <fgColor rgb="FFE6F1FB"/>
        <bgColor rgb="FFEEEDFE"/>
      </patternFill>
    </fill>
    <fill>
      <patternFill patternType="solid">
        <fgColor rgb="FFEAF3DE"/>
        <bgColor rgb="FFE1F5EE"/>
      </patternFill>
    </fill>
    <fill>
      <patternFill patternType="solid">
        <fgColor rgb="FFFCEBEB"/>
        <bgColor rgb="FFFAEEDA"/>
      </patternFill>
    </fill>
    <fill>
      <patternFill patternType="solid">
        <fgColor rgb="FF1D9E75"/>
        <bgColor rgb="FF008080"/>
      </patternFill>
    </fill>
    <fill>
      <patternFill patternType="solid">
        <fgColor rgb="FF7F77DD"/>
        <bgColor rgb="FF88888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/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85041"/>
      <rgbColor rgb="FFD3D1C7"/>
      <rgbColor rgb="FF888888"/>
      <rgbColor rgb="FF9999FF"/>
      <rgbColor rgb="FF993366"/>
      <rgbColor rgb="FFFAEEDA"/>
      <rgbColor rgb="FFE1F5EE"/>
      <rgbColor rgb="FF660066"/>
      <rgbColor rgb="FFFF8080"/>
      <rgbColor rgb="FF185FA5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CEBEB"/>
      <rgbColor rgb="FF9FE1CB"/>
      <rgbColor rgb="FFFF99CC"/>
      <rgbColor rgb="FFCC99FF"/>
      <rgbColor rgb="FFF5F5F5"/>
      <rgbColor rgb="FF3366FF"/>
      <rgbColor rgb="FF33CCCC"/>
      <rgbColor rgb="FF99CC00"/>
      <rgbColor rgb="FFFFCC00"/>
      <rgbColor rgb="FFEF9F27"/>
      <rgbColor rgb="FFD85A30"/>
      <rgbColor rgb="FF7F77DD"/>
      <rgbColor rgb="FF969696"/>
      <rgbColor rgb="FF0C447C"/>
      <rgbColor rgb="FF1D9E75"/>
      <rgbColor rgb="FF0D1B3E"/>
      <rgbColor rgb="FF27500A"/>
      <rgbColor rgb="FFA32D2D"/>
      <rgbColor rgb="FF993366"/>
      <rgbColor rgb="FF3C348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3E"/>
    <pageSetUpPr fitToPage="false"/>
  </sheetPr>
  <dimension ref="B1:E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4" customFormat="false" ht="12" hidden="false" customHeight="true" outlineLevel="0" collapsed="false"/>
    <row r="5" customFormat="false" ht="27.75" hidden="false" customHeight="true" outlineLevel="0" collapsed="false">
      <c r="B5" s="3" t="s">
        <v>2</v>
      </c>
      <c r="C5" s="3"/>
      <c r="D5" s="3"/>
      <c r="E5" s="3"/>
    </row>
    <row r="6" customFormat="false" ht="27.75" hidden="false" customHeight="true" outlineLevel="0" collapsed="false">
      <c r="B6" s="4" t="s">
        <v>3</v>
      </c>
      <c r="C6" s="5" t="s">
        <v>4</v>
      </c>
      <c r="D6" s="6" t="s">
        <v>5</v>
      </c>
      <c r="E6" s="7" t="s">
        <v>6</v>
      </c>
    </row>
    <row r="7" customFormat="false" ht="27.75" hidden="false" customHeight="true" outlineLevel="0" collapsed="false">
      <c r="B7" s="4" t="s">
        <v>7</v>
      </c>
      <c r="C7" s="5" t="s">
        <v>8</v>
      </c>
      <c r="D7" s="6" t="s">
        <v>9</v>
      </c>
      <c r="E7" s="7" t="s">
        <v>10</v>
      </c>
    </row>
    <row r="8" customFormat="false" ht="27.75" hidden="false" customHeight="true" outlineLevel="0" collapsed="false">
      <c r="B8" s="4" t="s">
        <v>11</v>
      </c>
      <c r="C8" s="5" t="s">
        <v>12</v>
      </c>
      <c r="D8" s="8" t="n">
        <v>200</v>
      </c>
      <c r="E8" s="7" t="s">
        <v>13</v>
      </c>
    </row>
    <row r="9" customFormat="false" ht="13.5" hidden="false" customHeight="true" outlineLevel="0" collapsed="false"/>
    <row r="10" customFormat="false" ht="27.75" hidden="false" customHeight="true" outlineLevel="0" collapsed="false">
      <c r="B10" s="9" t="s">
        <v>14</v>
      </c>
      <c r="C10" s="9"/>
      <c r="D10" s="9"/>
      <c r="E10" s="9"/>
    </row>
    <row r="11" customFormat="false" ht="25.5" hidden="false" customHeight="true" outlineLevel="0" collapsed="false">
      <c r="B11" s="10"/>
      <c r="C11" s="5" t="s">
        <v>15</v>
      </c>
      <c r="D11" s="11" t="n">
        <f aca="false">COUNTA('Bill Audit'!C6:C19)</f>
        <v>10</v>
      </c>
      <c r="E11" s="10"/>
    </row>
    <row r="12" customFormat="false" ht="25.5" hidden="false" customHeight="true" outlineLevel="0" collapsed="false">
      <c r="B12" s="10"/>
      <c r="C12" s="5" t="s">
        <v>16</v>
      </c>
      <c r="D12" s="11" t="n">
        <f aca="false">COUNTIF('Bill Audit'!G6:G19,"Yes")</f>
        <v>9</v>
      </c>
      <c r="E12" s="10"/>
    </row>
    <row r="13" customFormat="false" ht="25.5" hidden="false" customHeight="true" outlineLevel="0" collapsed="false">
      <c r="B13" s="10"/>
      <c r="C13" s="5" t="s">
        <v>17</v>
      </c>
      <c r="D13" s="12" t="n">
        <f aca="false">SUMIF('Bill Audit'!G6:G19,"Yes",'Bill Audit'!F6:F19)</f>
        <v>23</v>
      </c>
      <c r="E13" s="10"/>
    </row>
    <row r="14" customFormat="false" ht="25.5" hidden="false" customHeight="true" outlineLevel="0" collapsed="false">
      <c r="B14" s="10"/>
      <c r="C14" s="5" t="s">
        <v>18</v>
      </c>
      <c r="D14" s="12" t="n">
        <f aca="false">D13*12</f>
        <v>276</v>
      </c>
      <c r="E14" s="10"/>
    </row>
    <row r="15" customFormat="false" ht="25.5" hidden="false" customHeight="true" outlineLevel="0" collapsed="false">
      <c r="B15" s="10"/>
      <c r="C15" s="5" t="s">
        <v>19</v>
      </c>
      <c r="D15" s="13" t="str">
        <f aca="false">IF(D13=0,"Enter bills in Bill Audit tab",IF(D13&gt;=D8,"ON TRACK — target achievable","GAP: need $"&amp;TEXT(D8-D13,"#,##0")&amp;" more/mo"))</f>
        <v>GAP: need $177 more/mo</v>
      </c>
      <c r="E15" s="10"/>
    </row>
    <row r="16" customFormat="false" ht="13.5" hidden="false" customHeight="true" outlineLevel="0" collapsed="false"/>
    <row r="17" customFormat="false" ht="27.75" hidden="false" customHeight="true" outlineLevel="0" collapsed="false">
      <c r="B17" s="14" t="s">
        <v>20</v>
      </c>
      <c r="C17" s="14"/>
      <c r="D17" s="14"/>
      <c r="E17" s="14"/>
    </row>
    <row r="18" customFormat="false" ht="43.5" hidden="false" customHeight="true" outlineLevel="0" collapsed="false">
      <c r="B18" s="15" t="s">
        <v>21</v>
      </c>
      <c r="C18" s="15"/>
      <c r="D18" s="15"/>
      <c r="E18" s="15"/>
    </row>
    <row r="19" customFormat="false" ht="7.5" hidden="false" customHeight="true" outlineLevel="0" collapsed="false"/>
    <row r="20" customFormat="false" ht="27.75" hidden="false" customHeight="true" outlineLevel="0" collapsed="false">
      <c r="B20" s="16" t="s">
        <v>22</v>
      </c>
      <c r="C20" s="17" t="s">
        <v>23</v>
      </c>
      <c r="D20" s="17"/>
      <c r="E20" s="17"/>
    </row>
    <row r="21" customFormat="false" ht="21.75" hidden="false" customHeight="true" outlineLevel="0" collapsed="false">
      <c r="B21" s="18" t="s">
        <v>24</v>
      </c>
      <c r="C21" s="15" t="s">
        <v>25</v>
      </c>
      <c r="D21" s="15"/>
      <c r="E21" s="15"/>
    </row>
    <row r="22" customFormat="false" ht="21.75" hidden="false" customHeight="true" outlineLevel="0" collapsed="false">
      <c r="B22" s="18" t="s">
        <v>24</v>
      </c>
      <c r="C22" s="15" t="s">
        <v>26</v>
      </c>
      <c r="D22" s="15"/>
      <c r="E22" s="15"/>
    </row>
    <row r="23" customFormat="false" ht="21.75" hidden="false" customHeight="true" outlineLevel="0" collapsed="false">
      <c r="B23" s="18" t="s">
        <v>24</v>
      </c>
      <c r="C23" s="15" t="s">
        <v>27</v>
      </c>
      <c r="D23" s="15"/>
      <c r="E23" s="15"/>
    </row>
    <row r="24" customFormat="false" ht="21.75" hidden="false" customHeight="true" outlineLevel="0" collapsed="false">
      <c r="B24" s="18" t="s">
        <v>24</v>
      </c>
      <c r="C24" s="15" t="s">
        <v>28</v>
      </c>
      <c r="D24" s="15"/>
      <c r="E24" s="15"/>
    </row>
    <row r="25" customFormat="false" ht="21.75" hidden="false" customHeight="true" outlineLevel="0" collapsed="false">
      <c r="B25" s="18" t="s">
        <v>24</v>
      </c>
      <c r="C25" s="15" t="s">
        <v>29</v>
      </c>
      <c r="D25" s="15"/>
      <c r="E25" s="15"/>
    </row>
    <row r="26" customFormat="false" ht="6" hidden="false" customHeight="true" outlineLevel="0" collapsed="false"/>
    <row r="27" customFormat="false" ht="27.75" hidden="false" customHeight="true" outlineLevel="0" collapsed="false">
      <c r="B27" s="9" t="s">
        <v>30</v>
      </c>
      <c r="C27" s="19" t="s">
        <v>31</v>
      </c>
      <c r="D27" s="19"/>
      <c r="E27" s="19"/>
    </row>
    <row r="28" customFormat="false" ht="21.75" hidden="false" customHeight="true" outlineLevel="0" collapsed="false">
      <c r="B28" s="20" t="s">
        <v>24</v>
      </c>
      <c r="C28" s="21" t="s">
        <v>32</v>
      </c>
      <c r="D28" s="21"/>
      <c r="E28" s="21"/>
    </row>
    <row r="29" customFormat="false" ht="21.75" hidden="false" customHeight="true" outlineLevel="0" collapsed="false">
      <c r="B29" s="20" t="s">
        <v>24</v>
      </c>
      <c r="C29" s="21" t="s">
        <v>33</v>
      </c>
      <c r="D29" s="21"/>
      <c r="E29" s="21"/>
    </row>
    <row r="30" customFormat="false" ht="21.75" hidden="false" customHeight="true" outlineLevel="0" collapsed="false">
      <c r="B30" s="20" t="s">
        <v>24</v>
      </c>
      <c r="C30" s="21" t="s">
        <v>34</v>
      </c>
      <c r="D30" s="21"/>
      <c r="E30" s="21"/>
    </row>
    <row r="31" customFormat="false" ht="21.75" hidden="false" customHeight="true" outlineLevel="0" collapsed="false">
      <c r="B31" s="20" t="s">
        <v>24</v>
      </c>
      <c r="C31" s="21" t="s">
        <v>35</v>
      </c>
      <c r="D31" s="21"/>
      <c r="E31" s="21"/>
    </row>
    <row r="32" customFormat="false" ht="21.75" hidden="false" customHeight="true" outlineLevel="0" collapsed="false">
      <c r="B32" s="20" t="s">
        <v>24</v>
      </c>
      <c r="C32" s="21" t="s">
        <v>36</v>
      </c>
      <c r="D32" s="21"/>
      <c r="E32" s="21"/>
    </row>
    <row r="33" customFormat="false" ht="6" hidden="false" customHeight="true" outlineLevel="0" collapsed="false"/>
    <row r="34" customFormat="false" ht="27.75" hidden="false" customHeight="true" outlineLevel="0" collapsed="false">
      <c r="B34" s="16" t="s">
        <v>37</v>
      </c>
      <c r="C34" s="17" t="s">
        <v>38</v>
      </c>
      <c r="D34" s="17"/>
      <c r="E34" s="17"/>
    </row>
    <row r="35" customFormat="false" ht="21.75" hidden="false" customHeight="true" outlineLevel="0" collapsed="false">
      <c r="B35" s="18" t="s">
        <v>24</v>
      </c>
      <c r="C35" s="15" t="s">
        <v>39</v>
      </c>
      <c r="D35" s="15"/>
      <c r="E35" s="15"/>
    </row>
    <row r="36" customFormat="false" ht="21.75" hidden="false" customHeight="true" outlineLevel="0" collapsed="false">
      <c r="B36" s="18" t="s">
        <v>24</v>
      </c>
      <c r="C36" s="15" t="s">
        <v>40</v>
      </c>
      <c r="D36" s="15"/>
      <c r="E36" s="15"/>
    </row>
    <row r="37" customFormat="false" ht="21.75" hidden="false" customHeight="true" outlineLevel="0" collapsed="false">
      <c r="B37" s="18" t="s">
        <v>24</v>
      </c>
      <c r="C37" s="15" t="s">
        <v>41</v>
      </c>
      <c r="D37" s="15"/>
      <c r="E37" s="15"/>
    </row>
    <row r="38" customFormat="false" ht="21.75" hidden="false" customHeight="true" outlineLevel="0" collapsed="false">
      <c r="B38" s="18" t="s">
        <v>24</v>
      </c>
      <c r="C38" s="15" t="s">
        <v>42</v>
      </c>
      <c r="D38" s="15"/>
      <c r="E38" s="15"/>
    </row>
    <row r="39" customFormat="false" ht="21.75" hidden="false" customHeight="true" outlineLevel="0" collapsed="false">
      <c r="B39" s="18" t="s">
        <v>24</v>
      </c>
      <c r="C39" s="15" t="s">
        <v>43</v>
      </c>
      <c r="D39" s="15"/>
      <c r="E39" s="15"/>
    </row>
    <row r="40" customFormat="false" ht="6" hidden="false" customHeight="true" outlineLevel="0" collapsed="false"/>
    <row r="41" customFormat="false" ht="27.75" hidden="false" customHeight="true" outlineLevel="0" collapsed="false">
      <c r="B41" s="9" t="s">
        <v>44</v>
      </c>
      <c r="C41" s="19" t="s">
        <v>45</v>
      </c>
      <c r="D41" s="19"/>
      <c r="E41" s="19"/>
    </row>
    <row r="42" customFormat="false" ht="21.75" hidden="false" customHeight="true" outlineLevel="0" collapsed="false">
      <c r="B42" s="20" t="s">
        <v>24</v>
      </c>
      <c r="C42" s="21" t="s">
        <v>46</v>
      </c>
      <c r="D42" s="21"/>
      <c r="E42" s="21"/>
    </row>
    <row r="43" customFormat="false" ht="21.75" hidden="false" customHeight="true" outlineLevel="0" collapsed="false">
      <c r="B43" s="20" t="s">
        <v>24</v>
      </c>
      <c r="C43" s="21" t="s">
        <v>47</v>
      </c>
      <c r="D43" s="21"/>
      <c r="E43" s="21"/>
    </row>
    <row r="44" customFormat="false" ht="21.75" hidden="false" customHeight="true" outlineLevel="0" collapsed="false">
      <c r="B44" s="20" t="s">
        <v>24</v>
      </c>
      <c r="C44" s="21" t="s">
        <v>48</v>
      </c>
      <c r="D44" s="21"/>
      <c r="E44" s="21"/>
    </row>
    <row r="45" customFormat="false" ht="21.75" hidden="false" customHeight="true" outlineLevel="0" collapsed="false">
      <c r="B45" s="20" t="s">
        <v>24</v>
      </c>
      <c r="C45" s="21" t="s">
        <v>49</v>
      </c>
      <c r="D45" s="21"/>
      <c r="E45" s="21"/>
    </row>
    <row r="46" customFormat="false" ht="21.75" hidden="false" customHeight="true" outlineLevel="0" collapsed="false">
      <c r="B46" s="20" t="s">
        <v>24</v>
      </c>
      <c r="C46" s="21" t="s">
        <v>50</v>
      </c>
      <c r="D46" s="21"/>
      <c r="E46" s="21"/>
    </row>
    <row r="47" customFormat="false" ht="6" hidden="false" customHeight="true" outlineLevel="0" collapsed="false"/>
    <row r="48" customFormat="false" ht="9.75" hidden="false" customHeight="true" outlineLevel="0" collapsed="false"/>
    <row r="49" customFormat="false" ht="27.75" hidden="false" customHeight="true" outlineLevel="0" collapsed="false">
      <c r="B49" s="9" t="s">
        <v>51</v>
      </c>
      <c r="C49" s="9"/>
      <c r="D49" s="9"/>
      <c r="E49" s="9"/>
    </row>
    <row r="50" customFormat="false" ht="21.75" hidden="false" customHeight="true" outlineLevel="0" collapsed="false">
      <c r="B50" s="22" t="s">
        <v>52</v>
      </c>
      <c r="C50" s="23" t="s">
        <v>53</v>
      </c>
      <c r="D50" s="23"/>
      <c r="E50" s="23"/>
    </row>
    <row r="51" customFormat="false" ht="21.75" hidden="false" customHeight="true" outlineLevel="0" collapsed="false">
      <c r="B51" s="24" t="s">
        <v>54</v>
      </c>
      <c r="C51" s="23" t="s">
        <v>55</v>
      </c>
      <c r="D51" s="23"/>
      <c r="E51" s="23"/>
    </row>
    <row r="52" customFormat="false" ht="21.75" hidden="false" customHeight="true" outlineLevel="0" collapsed="false">
      <c r="B52" s="25" t="s">
        <v>56</v>
      </c>
      <c r="C52" s="23" t="s">
        <v>57</v>
      </c>
      <c r="D52" s="23"/>
      <c r="E52" s="23"/>
    </row>
    <row r="53" customFormat="false" ht="21.75" hidden="false" customHeight="true" outlineLevel="0" collapsed="false">
      <c r="B53" s="26" t="s">
        <v>58</v>
      </c>
      <c r="C53" s="23" t="s">
        <v>59</v>
      </c>
      <c r="D53" s="23"/>
      <c r="E53" s="23"/>
    </row>
    <row r="54" customFormat="false" ht="21.75" hidden="false" customHeight="true" outlineLevel="0" collapsed="false">
      <c r="B54" s="27" t="s">
        <v>60</v>
      </c>
      <c r="C54" s="23" t="s">
        <v>61</v>
      </c>
      <c r="D54" s="23"/>
      <c r="E54" s="23"/>
    </row>
    <row r="55" customFormat="false" ht="21.75" hidden="false" customHeight="true" outlineLevel="0" collapsed="false">
      <c r="B55" s="28" t="s">
        <v>62</v>
      </c>
      <c r="C55" s="23" t="s">
        <v>63</v>
      </c>
      <c r="D55" s="23"/>
      <c r="E55" s="23"/>
    </row>
    <row r="56" customFormat="false" ht="7.5" hidden="false" customHeight="true" outlineLevel="0" collapsed="false"/>
    <row r="57" customFormat="false" ht="25.5" hidden="false" customHeight="true" outlineLevel="0" collapsed="false">
      <c r="B57" s="29" t="s">
        <v>64</v>
      </c>
      <c r="C57" s="29"/>
      <c r="D57" s="29"/>
      <c r="E57" s="29"/>
    </row>
  </sheetData>
  <mergeCells count="38">
    <mergeCell ref="B2:E2"/>
    <mergeCell ref="B3:E3"/>
    <mergeCell ref="B5:E5"/>
    <mergeCell ref="B10:E10"/>
    <mergeCell ref="B17:E17"/>
    <mergeCell ref="B18:E18"/>
    <mergeCell ref="C20:E20"/>
    <mergeCell ref="C21:E21"/>
    <mergeCell ref="C22:E22"/>
    <mergeCell ref="C23:E23"/>
    <mergeCell ref="C24:E24"/>
    <mergeCell ref="C25:E25"/>
    <mergeCell ref="C27:E27"/>
    <mergeCell ref="C28:E28"/>
    <mergeCell ref="C29:E29"/>
    <mergeCell ref="C30:E30"/>
    <mergeCell ref="C31:E31"/>
    <mergeCell ref="C32:E32"/>
    <mergeCell ref="C34:E34"/>
    <mergeCell ref="C35:E35"/>
    <mergeCell ref="C36:E36"/>
    <mergeCell ref="C37:E37"/>
    <mergeCell ref="C38:E38"/>
    <mergeCell ref="C39:E39"/>
    <mergeCell ref="C41:E41"/>
    <mergeCell ref="C42:E42"/>
    <mergeCell ref="C43:E43"/>
    <mergeCell ref="C44:E44"/>
    <mergeCell ref="C45:E45"/>
    <mergeCell ref="C46:E46"/>
    <mergeCell ref="B49:E49"/>
    <mergeCell ref="C50:E50"/>
    <mergeCell ref="C51:E51"/>
    <mergeCell ref="C52:E52"/>
    <mergeCell ref="C53:E53"/>
    <mergeCell ref="C54:E54"/>
    <mergeCell ref="C55:E55"/>
    <mergeCell ref="B57:E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9F27"/>
    <pageSetUpPr fitToPage="false"/>
  </sheetPr>
  <dimension ref="B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3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65</v>
      </c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B3" s="2" t="s">
        <v>66</v>
      </c>
      <c r="C3" s="2"/>
      <c r="D3" s="2"/>
      <c r="E3" s="2"/>
      <c r="F3" s="2"/>
      <c r="G3" s="2"/>
      <c r="H3" s="2"/>
      <c r="I3" s="2"/>
    </row>
    <row r="4" customFormat="false" ht="12" hidden="false" customHeight="true" outlineLevel="0" collapsed="false"/>
    <row r="5" customFormat="false" ht="30" hidden="false" customHeight="true" outlineLevel="0" collapsed="false">
      <c r="B5" s="9" t="s">
        <v>67</v>
      </c>
      <c r="C5" s="9" t="s">
        <v>68</v>
      </c>
      <c r="D5" s="9" t="s">
        <v>69</v>
      </c>
      <c r="E5" s="9" t="s">
        <v>70</v>
      </c>
      <c r="F5" s="9" t="s">
        <v>71</v>
      </c>
      <c r="G5" s="9" t="s">
        <v>72</v>
      </c>
      <c r="H5" s="9" t="s">
        <v>73</v>
      </c>
      <c r="I5" s="9" t="s">
        <v>74</v>
      </c>
      <c r="J5" s="9" t="s">
        <v>75</v>
      </c>
    </row>
    <row r="6" customFormat="false" ht="25.5" hidden="false" customHeight="true" outlineLevel="0" collapsed="false">
      <c r="B6" s="26" t="n">
        <v>1</v>
      </c>
      <c r="C6" s="30" t="s">
        <v>76</v>
      </c>
      <c r="D6" s="30" t="s">
        <v>77</v>
      </c>
      <c r="E6" s="8" t="n">
        <v>85</v>
      </c>
      <c r="F6" s="6" t="n">
        <v>3</v>
      </c>
      <c r="G6" s="6" t="s">
        <v>5</v>
      </c>
      <c r="H6" s="12" t="n">
        <f aca="false">IF(G6="Yes",27,0)</f>
        <v>27</v>
      </c>
      <c r="I6" s="31" t="s">
        <v>76</v>
      </c>
      <c r="J6" s="32" t="s">
        <v>78</v>
      </c>
    </row>
    <row r="7" customFormat="false" ht="25.5" hidden="false" customHeight="true" outlineLevel="0" collapsed="false">
      <c r="B7" s="26" t="n">
        <v>2</v>
      </c>
      <c r="C7" s="30" t="s">
        <v>79</v>
      </c>
      <c r="D7" s="30" t="s">
        <v>80</v>
      </c>
      <c r="E7" s="8" t="n">
        <v>95</v>
      </c>
      <c r="F7" s="6" t="n">
        <v>5</v>
      </c>
      <c r="G7" s="6" t="s">
        <v>5</v>
      </c>
      <c r="H7" s="12" t="n">
        <f aca="false">IF(G7="Yes",20,0)</f>
        <v>20</v>
      </c>
      <c r="I7" s="33" t="s">
        <v>79</v>
      </c>
      <c r="J7" s="34" t="s">
        <v>78</v>
      </c>
    </row>
    <row r="8" customFormat="false" ht="25.5" hidden="false" customHeight="true" outlineLevel="0" collapsed="false">
      <c r="B8" s="26" t="n">
        <v>3</v>
      </c>
      <c r="C8" s="30" t="s">
        <v>81</v>
      </c>
      <c r="D8" s="30" t="s">
        <v>82</v>
      </c>
      <c r="E8" s="8" t="n">
        <v>180</v>
      </c>
      <c r="F8" s="6" t="n">
        <v>4</v>
      </c>
      <c r="G8" s="6" t="s">
        <v>5</v>
      </c>
      <c r="H8" s="12" t="n">
        <f aca="false">IF(G8="Yes",55,0)</f>
        <v>55</v>
      </c>
      <c r="I8" s="31" t="s">
        <v>81</v>
      </c>
      <c r="J8" s="32" t="s">
        <v>78</v>
      </c>
    </row>
    <row r="9" customFormat="false" ht="25.5" hidden="false" customHeight="true" outlineLevel="0" collapsed="false">
      <c r="B9" s="26" t="n">
        <v>4</v>
      </c>
      <c r="C9" s="30" t="s">
        <v>83</v>
      </c>
      <c r="D9" s="30" t="s">
        <v>84</v>
      </c>
      <c r="E9" s="8" t="n">
        <v>120</v>
      </c>
      <c r="F9" s="6" t="n">
        <v>4</v>
      </c>
      <c r="G9" s="6" t="s">
        <v>5</v>
      </c>
      <c r="H9" s="12" t="n">
        <f aca="false">IF(G9="Yes",40,0)</f>
        <v>40</v>
      </c>
      <c r="I9" s="33" t="s">
        <v>83</v>
      </c>
      <c r="J9" s="34" t="s">
        <v>78</v>
      </c>
    </row>
    <row r="10" customFormat="false" ht="25.5" hidden="false" customHeight="true" outlineLevel="0" collapsed="false">
      <c r="B10" s="26" t="n">
        <v>5</v>
      </c>
      <c r="C10" s="30" t="s">
        <v>85</v>
      </c>
      <c r="D10" s="30" t="s">
        <v>86</v>
      </c>
      <c r="E10" s="8" t="n">
        <v>18</v>
      </c>
      <c r="F10" s="6" t="n">
        <v>2</v>
      </c>
      <c r="G10" s="6" t="s">
        <v>5</v>
      </c>
      <c r="H10" s="12" t="n">
        <f aca="false">IF(G10="Yes",10,0)</f>
        <v>10</v>
      </c>
      <c r="I10" s="31" t="s">
        <v>85</v>
      </c>
      <c r="J10" s="32" t="s">
        <v>78</v>
      </c>
    </row>
    <row r="11" customFormat="false" ht="25.5" hidden="false" customHeight="true" outlineLevel="0" collapsed="false">
      <c r="B11" s="26" t="n">
        <v>6</v>
      </c>
      <c r="C11" s="30" t="s">
        <v>87</v>
      </c>
      <c r="D11" s="30" t="s">
        <v>88</v>
      </c>
      <c r="E11" s="8" t="n">
        <v>25</v>
      </c>
      <c r="F11" s="6" t="n">
        <v>1</v>
      </c>
      <c r="G11" s="6" t="s">
        <v>5</v>
      </c>
      <c r="H11" s="12" t="n">
        <f aca="false">IF(G11="Yes",17,0)</f>
        <v>17</v>
      </c>
      <c r="I11" s="33" t="s">
        <v>87</v>
      </c>
      <c r="J11" s="34" t="s">
        <v>78</v>
      </c>
    </row>
    <row r="12" customFormat="false" ht="25.5" hidden="false" customHeight="true" outlineLevel="0" collapsed="false">
      <c r="B12" s="26" t="n">
        <v>7</v>
      </c>
      <c r="C12" s="30" t="s">
        <v>89</v>
      </c>
      <c r="D12" s="30" t="s">
        <v>90</v>
      </c>
      <c r="E12" s="8" t="n">
        <v>95</v>
      </c>
      <c r="F12" s="6" t="n">
        <v>3</v>
      </c>
      <c r="G12" s="6" t="s">
        <v>5</v>
      </c>
      <c r="H12" s="12" t="n">
        <f aca="false">IF(G12="Yes",322,0)</f>
        <v>322</v>
      </c>
      <c r="I12" s="31" t="s">
        <v>89</v>
      </c>
      <c r="J12" s="32" t="s">
        <v>78</v>
      </c>
    </row>
    <row r="13" customFormat="false" ht="25.5" hidden="false" customHeight="true" outlineLevel="0" collapsed="false">
      <c r="B13" s="26" t="n">
        <v>8</v>
      </c>
      <c r="C13" s="30" t="s">
        <v>91</v>
      </c>
      <c r="D13" s="30" t="s">
        <v>92</v>
      </c>
      <c r="E13" s="8" t="n">
        <v>45</v>
      </c>
      <c r="F13" s="6" t="n">
        <v>2</v>
      </c>
      <c r="G13" s="6" t="s">
        <v>9</v>
      </c>
      <c r="H13" s="12" t="n">
        <f aca="false">IF(G13="Yes",15,0)</f>
        <v>0</v>
      </c>
      <c r="I13" s="33" t="s">
        <v>91</v>
      </c>
      <c r="J13" s="34" t="s">
        <v>78</v>
      </c>
    </row>
    <row r="14" customFormat="false" ht="25.5" hidden="false" customHeight="true" outlineLevel="0" collapsed="false">
      <c r="B14" s="26" t="n">
        <v>9</v>
      </c>
      <c r="C14" s="30" t="s">
        <v>93</v>
      </c>
      <c r="D14" s="30" t="s">
        <v>94</v>
      </c>
      <c r="E14" s="8" t="n">
        <v>55</v>
      </c>
      <c r="F14" s="6" t="n">
        <v>1</v>
      </c>
      <c r="G14" s="6" t="s">
        <v>5</v>
      </c>
      <c r="H14" s="12" t="n">
        <f aca="false">IF(G14="Yes",12,0)</f>
        <v>12</v>
      </c>
      <c r="I14" s="31" t="s">
        <v>93</v>
      </c>
      <c r="J14" s="32" t="s">
        <v>78</v>
      </c>
    </row>
    <row r="15" customFormat="false" ht="25.5" hidden="false" customHeight="true" outlineLevel="0" collapsed="false">
      <c r="B15" s="26" t="n">
        <v>10</v>
      </c>
      <c r="C15" s="30" t="s">
        <v>95</v>
      </c>
      <c r="D15" s="30" t="s">
        <v>96</v>
      </c>
      <c r="E15" s="8" t="n">
        <v>340</v>
      </c>
      <c r="F15" s="6" t="n">
        <v>0</v>
      </c>
      <c r="G15" s="6" t="s">
        <v>5</v>
      </c>
      <c r="H15" s="12" t="n">
        <f aca="false">IF(G15="Yes",175,0)</f>
        <v>175</v>
      </c>
      <c r="I15" s="33" t="s">
        <v>95</v>
      </c>
      <c r="J15" s="34" t="s">
        <v>78</v>
      </c>
    </row>
    <row r="16" customFormat="false" ht="25.5" hidden="false" customHeight="true" outlineLevel="0" collapsed="false">
      <c r="B16" s="26" t="n">
        <v>11</v>
      </c>
      <c r="C16" s="30"/>
      <c r="D16" s="30"/>
      <c r="E16" s="8"/>
      <c r="F16" s="6"/>
      <c r="G16" s="6"/>
      <c r="H16" s="12" t="n">
        <f aca="false">IF(G16="Yes",20,0)</f>
        <v>0</v>
      </c>
      <c r="I16" s="35"/>
      <c r="J16" s="35"/>
    </row>
    <row r="17" customFormat="false" ht="25.5" hidden="false" customHeight="true" outlineLevel="0" collapsed="false">
      <c r="B17" s="26" t="n">
        <v>12</v>
      </c>
      <c r="C17" s="30"/>
      <c r="D17" s="30"/>
      <c r="E17" s="8"/>
      <c r="F17" s="6"/>
      <c r="G17" s="6"/>
      <c r="H17" s="12" t="n">
        <f aca="false">IF(G17="Yes",20,0)</f>
        <v>0</v>
      </c>
      <c r="I17" s="23"/>
      <c r="J17" s="23"/>
    </row>
    <row r="18" customFormat="false" ht="25.5" hidden="false" customHeight="true" outlineLevel="0" collapsed="false">
      <c r="B18" s="26" t="n">
        <v>13</v>
      </c>
      <c r="C18" s="30"/>
      <c r="D18" s="30"/>
      <c r="E18" s="8"/>
      <c r="F18" s="6"/>
      <c r="G18" s="6"/>
      <c r="H18" s="12" t="n">
        <f aca="false">IF(G18="Yes",20,0)</f>
        <v>0</v>
      </c>
      <c r="I18" s="35"/>
      <c r="J18" s="35"/>
    </row>
    <row r="19" customFormat="false" ht="25.5" hidden="false" customHeight="true" outlineLevel="0" collapsed="false">
      <c r="B19" s="26" t="n">
        <v>14</v>
      </c>
      <c r="C19" s="30"/>
      <c r="D19" s="30"/>
      <c r="E19" s="8"/>
      <c r="F19" s="6"/>
      <c r="G19" s="6"/>
      <c r="H19" s="12" t="n">
        <f aca="false">IF(G19="Yes",20,0)</f>
        <v>0</v>
      </c>
      <c r="I19" s="23"/>
      <c r="J19" s="23"/>
    </row>
    <row r="20" customFormat="false" ht="27.75" hidden="false" customHeight="true" outlineLevel="0" collapsed="false">
      <c r="B20" s="36"/>
      <c r="C20" s="9" t="s">
        <v>97</v>
      </c>
      <c r="D20" s="36"/>
      <c r="E20" s="37" t="n">
        <f aca="false">SUM(E6:E19)</f>
        <v>1058</v>
      </c>
      <c r="F20" s="36"/>
      <c r="G20" s="9" t="n">
        <f aca="false">COUNTIF(G6:G19,"Yes")</f>
        <v>9</v>
      </c>
      <c r="H20" s="37" t="n">
        <f aca="false">SUM(H6:H19)</f>
        <v>678</v>
      </c>
      <c r="I20" s="36"/>
      <c r="J20" s="36"/>
    </row>
    <row r="21" customFormat="false" ht="9.75" hidden="false" customHeight="true" outlineLevel="0" collapsed="false"/>
    <row r="22" customFormat="false" ht="21.75" hidden="false" customHeight="true" outlineLevel="0" collapsed="false">
      <c r="C22" s="38" t="s">
        <v>98</v>
      </c>
      <c r="D22" s="38"/>
      <c r="E22" s="38"/>
      <c r="F22" s="38"/>
      <c r="G22" s="38"/>
      <c r="H22" s="38"/>
      <c r="I22" s="38"/>
      <c r="J22" s="38"/>
    </row>
  </sheetData>
  <mergeCells count="3">
    <mergeCell ref="B2:I2"/>
    <mergeCell ref="B3:I3"/>
    <mergeCell ref="C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B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99</v>
      </c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B3" s="2" t="s">
        <v>100</v>
      </c>
      <c r="C3" s="2"/>
      <c r="D3" s="2"/>
      <c r="E3" s="2"/>
      <c r="F3" s="2"/>
      <c r="G3" s="2"/>
      <c r="H3" s="2"/>
    </row>
    <row r="4" customFormat="false" ht="12" hidden="false" customHeight="true" outlineLevel="0" collapsed="false"/>
    <row r="5" customFormat="false" ht="27.75" hidden="false" customHeight="true" outlineLevel="0" collapsed="false">
      <c r="B5" s="9" t="s">
        <v>101</v>
      </c>
      <c r="C5" s="9" t="s">
        <v>102</v>
      </c>
      <c r="D5" s="9" t="s">
        <v>103</v>
      </c>
      <c r="E5" s="9" t="s">
        <v>73</v>
      </c>
      <c r="F5" s="9" t="s">
        <v>104</v>
      </c>
      <c r="G5" s="9" t="s">
        <v>105</v>
      </c>
      <c r="H5" s="9" t="s">
        <v>106</v>
      </c>
      <c r="I5" s="9" t="s">
        <v>107</v>
      </c>
    </row>
    <row r="6" customFormat="false" ht="31.5" hidden="false" customHeight="true" outlineLevel="0" collapsed="false">
      <c r="B6" s="3" t="n">
        <v>1</v>
      </c>
      <c r="C6" s="17" t="s">
        <v>76</v>
      </c>
      <c r="D6" s="17" t="str">
        <f aca="false">IFERROR(INDEX('Bill Audit'!D6:D19,MATCH("Internet / Cable",'Bill Audit'!C6:C19,0)),"—")</f>
        <v>Xfinity</v>
      </c>
      <c r="E6" s="39" t="n">
        <f aca="false">IFERROR(INDEX('Bill Audit'!H6:H19,MATCH("Internet / Cable",'Bill Audit'!C6:C19,0)),"—")</f>
        <v>27</v>
      </c>
      <c r="F6" s="40" t="s">
        <v>108</v>
      </c>
      <c r="G6" s="28" t="s">
        <v>109</v>
      </c>
      <c r="H6" s="41" t="s">
        <v>76</v>
      </c>
      <c r="I6" s="40" t="s">
        <v>110</v>
      </c>
    </row>
    <row r="7" customFormat="false" ht="31.5" hidden="false" customHeight="true" outlineLevel="0" collapsed="false">
      <c r="B7" s="26" t="n">
        <v>2</v>
      </c>
      <c r="C7" s="42" t="s">
        <v>79</v>
      </c>
      <c r="D7" s="42" t="str">
        <f aca="false">IFERROR(INDEX('Bill Audit'!D6:D19,MATCH("Cell Phone",'Bill Audit'!C6:C19,0)),"—")</f>
        <v>Verizon</v>
      </c>
      <c r="E7" s="43" t="n">
        <f aca="false">IFERROR(INDEX('Bill Audit'!H6:H19,MATCH("Cell Phone",'Bill Audit'!C6:C19,0)),"—")</f>
        <v>20</v>
      </c>
      <c r="F7" s="44" t="s">
        <v>111</v>
      </c>
      <c r="G7" s="28" t="s">
        <v>109</v>
      </c>
      <c r="H7" s="15" t="s">
        <v>79</v>
      </c>
      <c r="I7" s="44" t="s">
        <v>112</v>
      </c>
    </row>
    <row r="8" customFormat="false" ht="31.5" hidden="false" customHeight="true" outlineLevel="0" collapsed="false">
      <c r="B8" s="26" t="n">
        <v>3</v>
      </c>
      <c r="C8" s="5" t="s">
        <v>81</v>
      </c>
      <c r="D8" s="5" t="str">
        <f aca="false">IFERROR(INDEX('Bill Audit'!D6:D19,MATCH("Car Insurance",'Bill Audit'!C6:C19,0)),"—")</f>
        <v>State Farm</v>
      </c>
      <c r="E8" s="45" t="n">
        <f aca="false">IFERROR(INDEX('Bill Audit'!H6:H19,MATCH("Car Insurance",'Bill Audit'!C6:C19,0)),"—")</f>
        <v>55</v>
      </c>
      <c r="F8" s="31" t="s">
        <v>113</v>
      </c>
      <c r="G8" s="25" t="s">
        <v>114</v>
      </c>
      <c r="H8" s="46" t="s">
        <v>81</v>
      </c>
      <c r="I8" s="31" t="s">
        <v>115</v>
      </c>
    </row>
    <row r="9" customFormat="false" ht="31.5" hidden="false" customHeight="true" outlineLevel="0" collapsed="false">
      <c r="B9" s="26" t="n">
        <v>4</v>
      </c>
      <c r="C9" s="5" t="s">
        <v>89</v>
      </c>
      <c r="D9" s="5" t="str">
        <f aca="false">IFERROR(INDEX('Bill Audit'!D6:D19,MATCH("Credit Card Annual Fee",'Bill Audit'!C6:C19,0)),"—")</f>
        <v>Chase Sapphire</v>
      </c>
      <c r="E9" s="45" t="n">
        <f aca="false">IFERROR(INDEX('Bill Audit'!H6:H19,MATCH("Credit Card Annual Fee",'Bill Audit'!C6:C19,0)),"—")</f>
        <v>322</v>
      </c>
      <c r="F9" s="31" t="s">
        <v>116</v>
      </c>
      <c r="G9" s="28" t="s">
        <v>109</v>
      </c>
      <c r="H9" s="46" t="s">
        <v>89</v>
      </c>
      <c r="I9" s="31" t="s">
        <v>115</v>
      </c>
    </row>
    <row r="10" customFormat="false" ht="31.5" hidden="false" customHeight="true" outlineLevel="0" collapsed="false">
      <c r="B10" s="26" t="n">
        <v>5</v>
      </c>
      <c r="C10" s="5" t="s">
        <v>83</v>
      </c>
      <c r="D10" s="5" t="str">
        <f aca="false">IFERROR(INDEX('Bill Audit'!D6:D19,MATCH("Home Insurance",'Bill Audit'!C6:C19,0)),"—")</f>
        <v>Allstate</v>
      </c>
      <c r="E10" s="45" t="n">
        <f aca="false">IFERROR(INDEX('Bill Audit'!H6:H19,MATCH("Home Insurance",'Bill Audit'!C6:C19,0)),"—")</f>
        <v>40</v>
      </c>
      <c r="F10" s="31" t="s">
        <v>113</v>
      </c>
      <c r="G10" s="25" t="s">
        <v>114</v>
      </c>
      <c r="H10" s="46" t="s">
        <v>83</v>
      </c>
      <c r="I10" s="31" t="s">
        <v>117</v>
      </c>
    </row>
    <row r="11" customFormat="false" ht="27.75" hidden="false" customHeight="true" outlineLevel="0" collapsed="false">
      <c r="B11" s="36"/>
      <c r="C11" s="9" t="s">
        <v>118</v>
      </c>
      <c r="D11" s="36"/>
      <c r="E11" s="37" t="n">
        <f aca="false">SUM(E6:E10)</f>
        <v>464</v>
      </c>
      <c r="F11" s="47" t="n">
        <f aca="false">E11*12</f>
        <v>5568</v>
      </c>
      <c r="G11" s="36"/>
      <c r="H11" s="36"/>
      <c r="I11" s="36"/>
    </row>
    <row r="12" customFormat="false" ht="12" hidden="false" customHeight="true" outlineLevel="0" collapsed="false"/>
    <row r="13" customFormat="false" ht="27.75" hidden="false" customHeight="true" outlineLevel="0" collapsed="false">
      <c r="B13" s="9" t="s">
        <v>119</v>
      </c>
      <c r="C13" s="9"/>
      <c r="D13" s="9"/>
      <c r="E13" s="9"/>
      <c r="F13" s="9"/>
      <c r="G13" s="9"/>
      <c r="H13" s="9"/>
      <c r="I13" s="9"/>
    </row>
    <row r="14" customFormat="false" ht="24" hidden="false" customHeight="true" outlineLevel="0" collapsed="false">
      <c r="B14" s="48" t="s">
        <v>120</v>
      </c>
      <c r="C14" s="35" t="s">
        <v>87</v>
      </c>
      <c r="D14" s="5"/>
      <c r="E14" s="49"/>
      <c r="F14" s="31" t="s">
        <v>121</v>
      </c>
      <c r="G14" s="50" t="s">
        <v>109</v>
      </c>
      <c r="H14" s="51" t="s">
        <v>87</v>
      </c>
      <c r="I14" s="5"/>
    </row>
    <row r="15" customFormat="false" ht="24" hidden="false" customHeight="true" outlineLevel="0" collapsed="false">
      <c r="B15" s="48" t="s">
        <v>122</v>
      </c>
      <c r="C15" s="23" t="s">
        <v>85</v>
      </c>
      <c r="D15" s="10"/>
      <c r="E15" s="52"/>
      <c r="F15" s="33" t="s">
        <v>123</v>
      </c>
      <c r="G15" s="50" t="s">
        <v>109</v>
      </c>
      <c r="H15" s="53" t="s">
        <v>85</v>
      </c>
      <c r="I15" s="10"/>
    </row>
    <row r="16" customFormat="false" ht="24" hidden="false" customHeight="true" outlineLevel="0" collapsed="false">
      <c r="B16" s="48" t="s">
        <v>124</v>
      </c>
      <c r="C16" s="35" t="s">
        <v>95</v>
      </c>
      <c r="D16" s="5"/>
      <c r="E16" s="49"/>
      <c r="F16" s="31" t="s">
        <v>125</v>
      </c>
      <c r="G16" s="50" t="s">
        <v>109</v>
      </c>
      <c r="H16" s="51" t="s">
        <v>95</v>
      </c>
      <c r="I16" s="5"/>
    </row>
    <row r="17" customFormat="false" ht="24" hidden="false" customHeight="true" outlineLevel="0" collapsed="false">
      <c r="B17" s="48" t="s">
        <v>126</v>
      </c>
      <c r="C17" s="23" t="s">
        <v>91</v>
      </c>
      <c r="D17" s="10"/>
      <c r="E17" s="52"/>
      <c r="F17" s="33" t="s">
        <v>111</v>
      </c>
      <c r="G17" s="54" t="s">
        <v>114</v>
      </c>
      <c r="H17" s="53" t="s">
        <v>91</v>
      </c>
      <c r="I17" s="10"/>
    </row>
    <row r="18" customFormat="false" ht="24" hidden="false" customHeight="true" outlineLevel="0" collapsed="false">
      <c r="B18" s="48" t="s">
        <v>127</v>
      </c>
      <c r="C18" s="35" t="s">
        <v>93</v>
      </c>
      <c r="D18" s="5"/>
      <c r="E18" s="49"/>
      <c r="F18" s="31" t="s">
        <v>123</v>
      </c>
      <c r="G18" s="50" t="s">
        <v>109</v>
      </c>
      <c r="H18" s="51" t="s">
        <v>93</v>
      </c>
      <c r="I18" s="5"/>
    </row>
    <row r="19" customFormat="false" ht="24" hidden="false" customHeight="true" outlineLevel="0" collapsed="false">
      <c r="B19" s="48" t="s">
        <v>128</v>
      </c>
      <c r="C19" s="23" t="s">
        <v>129</v>
      </c>
      <c r="D19" s="10"/>
      <c r="E19" s="52"/>
      <c r="F19" s="33" t="s">
        <v>111</v>
      </c>
      <c r="G19" s="50" t="s">
        <v>109</v>
      </c>
      <c r="H19" s="53" t="s">
        <v>129</v>
      </c>
      <c r="I19" s="10"/>
    </row>
    <row r="20" customFormat="false" ht="24" hidden="false" customHeight="true" outlineLevel="0" collapsed="false">
      <c r="B20" s="48" t="s">
        <v>130</v>
      </c>
      <c r="C20" s="35" t="s">
        <v>131</v>
      </c>
      <c r="D20" s="5"/>
      <c r="E20" s="49"/>
      <c r="F20" s="31" t="s">
        <v>125</v>
      </c>
      <c r="G20" s="54" t="s">
        <v>114</v>
      </c>
      <c r="H20" s="51" t="s">
        <v>131</v>
      </c>
      <c r="I20" s="5"/>
    </row>
    <row r="21" customFormat="false" ht="24" hidden="false" customHeight="true" outlineLevel="0" collapsed="false">
      <c r="B21" s="48" t="s">
        <v>132</v>
      </c>
      <c r="C21" s="23" t="s">
        <v>133</v>
      </c>
      <c r="D21" s="10"/>
      <c r="E21" s="52"/>
      <c r="F21" s="33" t="s">
        <v>134</v>
      </c>
      <c r="G21" s="55" t="s">
        <v>135</v>
      </c>
      <c r="H21" s="53" t="s">
        <v>133</v>
      </c>
      <c r="I21" s="10"/>
    </row>
    <row r="22" customFormat="false" ht="24" hidden="false" customHeight="true" outlineLevel="0" collapsed="false">
      <c r="B22" s="48" t="s">
        <v>136</v>
      </c>
      <c r="C22" s="35" t="s">
        <v>137</v>
      </c>
      <c r="D22" s="5"/>
      <c r="E22" s="49"/>
      <c r="F22" s="31" t="s">
        <v>123</v>
      </c>
      <c r="G22" s="50" t="s">
        <v>109</v>
      </c>
      <c r="H22" s="51" t="s">
        <v>137</v>
      </c>
      <c r="I22" s="5"/>
    </row>
    <row r="23" customFormat="false" ht="7.5" hidden="false" customHeight="true" outlineLevel="0" collapsed="false"/>
    <row r="24" customFormat="false" ht="21.75" hidden="false" customHeight="true" outlineLevel="0" collapsed="false">
      <c r="C24" s="38" t="s">
        <v>138</v>
      </c>
      <c r="D24" s="38"/>
      <c r="E24" s="38"/>
      <c r="F24" s="38"/>
      <c r="G24" s="38"/>
      <c r="H24" s="38"/>
      <c r="I24" s="38"/>
    </row>
  </sheetData>
  <mergeCells count="4">
    <mergeCell ref="B2:H2"/>
    <mergeCell ref="B3:H3"/>
    <mergeCell ref="B13:I13"/>
    <mergeCell ref="C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7DD"/>
    <pageSetUpPr fitToPage="false"/>
  </sheetPr>
  <dimension ref="B1:D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3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139</v>
      </c>
      <c r="C2" s="1"/>
      <c r="D2" s="1"/>
    </row>
    <row r="3" customFormat="false" ht="21.75" hidden="false" customHeight="true" outlineLevel="0" collapsed="false">
      <c r="B3" s="2" t="s">
        <v>140</v>
      </c>
      <c r="C3" s="2"/>
      <c r="D3" s="2"/>
    </row>
    <row r="4" customFormat="false" ht="12" hidden="false" customHeight="true" outlineLevel="0" collapsed="false"/>
    <row r="5" customFormat="false" ht="30" hidden="false" customHeight="true" outlineLevel="0" collapsed="false">
      <c r="B5" s="56" t="s">
        <v>141</v>
      </c>
      <c r="C5" s="56"/>
      <c r="D5" s="56"/>
    </row>
    <row r="6" customFormat="false" ht="21.75" hidden="false" customHeight="true" outlineLevel="0" collapsed="false">
      <c r="B6" s="57" t="s">
        <v>142</v>
      </c>
      <c r="C6" s="57"/>
      <c r="D6" s="57"/>
    </row>
    <row r="7" customFormat="false" ht="45.75" hidden="false" customHeight="true" outlineLevel="0" collapsed="false">
      <c r="B7" s="25" t="s">
        <v>143</v>
      </c>
      <c r="C7" s="58" t="s">
        <v>144</v>
      </c>
      <c r="D7" s="58"/>
    </row>
    <row r="8" customFormat="false" ht="45.75" hidden="false" customHeight="true" outlineLevel="0" collapsed="false">
      <c r="B8" s="25" t="s">
        <v>145</v>
      </c>
      <c r="C8" s="15" t="s">
        <v>146</v>
      </c>
      <c r="D8" s="15"/>
    </row>
    <row r="9" customFormat="false" ht="45.75" hidden="false" customHeight="true" outlineLevel="0" collapsed="false">
      <c r="B9" s="25" t="s">
        <v>147</v>
      </c>
      <c r="C9" s="15" t="s">
        <v>148</v>
      </c>
      <c r="D9" s="15"/>
    </row>
    <row r="10" customFormat="false" ht="45.75" hidden="false" customHeight="true" outlineLevel="0" collapsed="false">
      <c r="B10" s="25" t="s">
        <v>149</v>
      </c>
      <c r="C10" s="58" t="s">
        <v>150</v>
      </c>
      <c r="D10" s="58"/>
    </row>
    <row r="11" customFormat="false" ht="45.75" hidden="false" customHeight="true" outlineLevel="0" collapsed="false">
      <c r="B11" s="25" t="s">
        <v>151</v>
      </c>
      <c r="C11" s="58" t="s">
        <v>152</v>
      </c>
      <c r="D11" s="58"/>
    </row>
    <row r="12" customFormat="false" ht="45.75" hidden="false" customHeight="true" outlineLevel="0" collapsed="false">
      <c r="B12" s="25" t="s">
        <v>153</v>
      </c>
      <c r="C12" s="58" t="s">
        <v>154</v>
      </c>
      <c r="D12" s="58"/>
    </row>
    <row r="13" customFormat="false" ht="21.75" hidden="false" customHeight="true" outlineLevel="0" collapsed="false">
      <c r="B13" s="57" t="s">
        <v>155</v>
      </c>
      <c r="C13" s="57"/>
      <c r="D13" s="57"/>
    </row>
    <row r="14" customFormat="false" ht="45.75" hidden="false" customHeight="true" outlineLevel="0" collapsed="false">
      <c r="B14" s="25" t="s">
        <v>145</v>
      </c>
      <c r="C14" s="15" t="s">
        <v>156</v>
      </c>
      <c r="D14" s="15"/>
    </row>
    <row r="15" customFormat="false" ht="45.75" hidden="false" customHeight="true" outlineLevel="0" collapsed="false">
      <c r="B15" s="25" t="s">
        <v>147</v>
      </c>
      <c r="C15" s="15" t="s">
        <v>157</v>
      </c>
      <c r="D15" s="15"/>
    </row>
    <row r="16" customFormat="false" ht="45.75" hidden="false" customHeight="true" outlineLevel="0" collapsed="false">
      <c r="B16" s="25" t="s">
        <v>158</v>
      </c>
      <c r="C16" s="58" t="s">
        <v>159</v>
      </c>
      <c r="D16" s="58"/>
    </row>
    <row r="17" customFormat="false" ht="45.75" hidden="false" customHeight="true" outlineLevel="0" collapsed="false">
      <c r="B17" s="25" t="s">
        <v>153</v>
      </c>
      <c r="C17" s="58" t="s">
        <v>160</v>
      </c>
      <c r="D17" s="58"/>
    </row>
    <row r="18" customFormat="false" ht="7.5" hidden="false" customHeight="true" outlineLevel="0" collapsed="false"/>
    <row r="19" customFormat="false" ht="30" hidden="false" customHeight="true" outlineLevel="0" collapsed="false">
      <c r="B19" s="59" t="s">
        <v>161</v>
      </c>
      <c r="C19" s="59"/>
      <c r="D19" s="59"/>
    </row>
    <row r="20" customFormat="false" ht="21.75" hidden="false" customHeight="true" outlineLevel="0" collapsed="false">
      <c r="B20" s="60" t="s">
        <v>162</v>
      </c>
      <c r="C20" s="60"/>
      <c r="D20" s="60"/>
    </row>
    <row r="21" customFormat="false" ht="45.75" hidden="false" customHeight="true" outlineLevel="0" collapsed="false">
      <c r="B21" s="24" t="s">
        <v>143</v>
      </c>
      <c r="C21" s="61" t="s">
        <v>163</v>
      </c>
      <c r="D21" s="61"/>
    </row>
    <row r="22" customFormat="false" ht="45.75" hidden="false" customHeight="true" outlineLevel="0" collapsed="false">
      <c r="B22" s="24" t="s">
        <v>145</v>
      </c>
      <c r="C22" s="62" t="s">
        <v>164</v>
      </c>
      <c r="D22" s="62"/>
    </row>
    <row r="23" customFormat="false" ht="45.75" hidden="false" customHeight="true" outlineLevel="0" collapsed="false">
      <c r="B23" s="24" t="s">
        <v>147</v>
      </c>
      <c r="C23" s="62" t="s">
        <v>165</v>
      </c>
      <c r="D23" s="62"/>
    </row>
    <row r="24" customFormat="false" ht="45.75" hidden="false" customHeight="true" outlineLevel="0" collapsed="false">
      <c r="B24" s="24" t="s">
        <v>166</v>
      </c>
      <c r="C24" s="61" t="s">
        <v>167</v>
      </c>
      <c r="D24" s="61"/>
    </row>
    <row r="25" customFormat="false" ht="45.75" hidden="false" customHeight="true" outlineLevel="0" collapsed="false">
      <c r="B25" s="24" t="s">
        <v>168</v>
      </c>
      <c r="C25" s="61" t="s">
        <v>169</v>
      </c>
      <c r="D25" s="61"/>
    </row>
    <row r="26" customFormat="false" ht="21.75" hidden="false" customHeight="true" outlineLevel="0" collapsed="false">
      <c r="B26" s="60" t="s">
        <v>170</v>
      </c>
      <c r="C26" s="60"/>
      <c r="D26" s="60"/>
    </row>
    <row r="27" customFormat="false" ht="45.75" hidden="false" customHeight="true" outlineLevel="0" collapsed="false">
      <c r="B27" s="24" t="s">
        <v>145</v>
      </c>
      <c r="C27" s="62" t="s">
        <v>171</v>
      </c>
      <c r="D27" s="62"/>
    </row>
    <row r="28" customFormat="false" ht="45.75" hidden="false" customHeight="true" outlineLevel="0" collapsed="false">
      <c r="B28" s="24" t="s">
        <v>147</v>
      </c>
      <c r="C28" s="62" t="s">
        <v>172</v>
      </c>
      <c r="D28" s="62"/>
    </row>
    <row r="29" customFormat="false" ht="7.5" hidden="false" customHeight="true" outlineLevel="0" collapsed="false"/>
    <row r="30" customFormat="false" ht="30" hidden="false" customHeight="true" outlineLevel="0" collapsed="false">
      <c r="B30" s="63" t="s">
        <v>173</v>
      </c>
      <c r="C30" s="63"/>
      <c r="D30" s="63"/>
    </row>
    <row r="31" customFormat="false" ht="21.75" hidden="false" customHeight="true" outlineLevel="0" collapsed="false">
      <c r="B31" s="64" t="s">
        <v>174</v>
      </c>
      <c r="C31" s="64"/>
      <c r="D31" s="64"/>
    </row>
    <row r="32" customFormat="false" ht="45.75" hidden="false" customHeight="true" outlineLevel="0" collapsed="false">
      <c r="B32" s="65" t="s">
        <v>143</v>
      </c>
      <c r="C32" s="66" t="s">
        <v>175</v>
      </c>
      <c r="D32" s="66"/>
    </row>
    <row r="33" customFormat="false" ht="45.75" hidden="false" customHeight="true" outlineLevel="0" collapsed="false">
      <c r="B33" s="65" t="s">
        <v>145</v>
      </c>
      <c r="C33" s="21" t="s">
        <v>176</v>
      </c>
      <c r="D33" s="21"/>
    </row>
    <row r="34" customFormat="false" ht="45.75" hidden="false" customHeight="true" outlineLevel="0" collapsed="false">
      <c r="B34" s="65" t="s">
        <v>147</v>
      </c>
      <c r="C34" s="21" t="s">
        <v>177</v>
      </c>
      <c r="D34" s="21"/>
    </row>
    <row r="35" customFormat="false" ht="45.75" hidden="false" customHeight="true" outlineLevel="0" collapsed="false">
      <c r="B35" s="65" t="s">
        <v>149</v>
      </c>
      <c r="C35" s="66" t="s">
        <v>178</v>
      </c>
      <c r="D35" s="66"/>
    </row>
    <row r="36" customFormat="false" ht="45.75" hidden="false" customHeight="true" outlineLevel="0" collapsed="false">
      <c r="B36" s="65" t="s">
        <v>179</v>
      </c>
      <c r="C36" s="66" t="s">
        <v>180</v>
      </c>
      <c r="D36" s="66"/>
    </row>
    <row r="37" customFormat="false" ht="45.75" hidden="false" customHeight="true" outlineLevel="0" collapsed="false">
      <c r="B37" s="65" t="s">
        <v>153</v>
      </c>
      <c r="C37" s="66" t="s">
        <v>181</v>
      </c>
      <c r="D37" s="66"/>
    </row>
    <row r="38" customFormat="false" ht="7.5" hidden="false" customHeight="true" outlineLevel="0" collapsed="false"/>
    <row r="39" customFormat="false" ht="30" hidden="false" customHeight="true" outlineLevel="0" collapsed="false">
      <c r="B39" s="67" t="s">
        <v>182</v>
      </c>
      <c r="C39" s="67"/>
      <c r="D39" s="67"/>
    </row>
    <row r="40" customFormat="false" ht="21.75" hidden="false" customHeight="true" outlineLevel="0" collapsed="false">
      <c r="B40" s="68" t="s">
        <v>183</v>
      </c>
      <c r="C40" s="68"/>
      <c r="D40" s="68"/>
    </row>
    <row r="41" customFormat="false" ht="45.75" hidden="false" customHeight="true" outlineLevel="0" collapsed="false">
      <c r="B41" s="69" t="s">
        <v>143</v>
      </c>
      <c r="C41" s="70" t="s">
        <v>184</v>
      </c>
      <c r="D41" s="70"/>
    </row>
    <row r="42" customFormat="false" ht="45.75" hidden="false" customHeight="true" outlineLevel="0" collapsed="false">
      <c r="B42" s="69" t="s">
        <v>145</v>
      </c>
      <c r="C42" s="71" t="s">
        <v>185</v>
      </c>
      <c r="D42" s="71"/>
    </row>
    <row r="43" customFormat="false" ht="45.75" hidden="false" customHeight="true" outlineLevel="0" collapsed="false">
      <c r="B43" s="69" t="s">
        <v>147</v>
      </c>
      <c r="C43" s="71" t="s">
        <v>186</v>
      </c>
      <c r="D43" s="71"/>
    </row>
    <row r="44" customFormat="false" ht="45.75" hidden="false" customHeight="true" outlineLevel="0" collapsed="false">
      <c r="B44" s="69" t="s">
        <v>187</v>
      </c>
      <c r="C44" s="70" t="s">
        <v>188</v>
      </c>
      <c r="D44" s="70"/>
    </row>
    <row r="45" customFormat="false" ht="45.75" hidden="false" customHeight="true" outlineLevel="0" collapsed="false">
      <c r="B45" s="69" t="s">
        <v>149</v>
      </c>
      <c r="C45" s="70" t="s">
        <v>189</v>
      </c>
      <c r="D45" s="70"/>
    </row>
    <row r="46" customFormat="false" ht="45.75" hidden="false" customHeight="true" outlineLevel="0" collapsed="false">
      <c r="B46" s="69" t="s">
        <v>151</v>
      </c>
      <c r="C46" s="70" t="s">
        <v>190</v>
      </c>
      <c r="D46" s="70"/>
    </row>
    <row r="47" customFormat="false" ht="45.75" hidden="false" customHeight="true" outlineLevel="0" collapsed="false">
      <c r="B47" s="69" t="s">
        <v>153</v>
      </c>
      <c r="C47" s="70" t="s">
        <v>191</v>
      </c>
      <c r="D47" s="70"/>
    </row>
    <row r="48" customFormat="false" ht="7.5" hidden="false" customHeight="true" outlineLevel="0" collapsed="false"/>
    <row r="49" customFormat="false" ht="30" hidden="false" customHeight="true" outlineLevel="0" collapsed="false">
      <c r="B49" s="59" t="s">
        <v>192</v>
      </c>
      <c r="C49" s="59"/>
      <c r="D49" s="59"/>
    </row>
    <row r="50" customFormat="false" ht="21.75" hidden="false" customHeight="true" outlineLevel="0" collapsed="false">
      <c r="B50" s="60" t="s">
        <v>193</v>
      </c>
      <c r="C50" s="60"/>
      <c r="D50" s="60"/>
    </row>
    <row r="51" customFormat="false" ht="45.75" hidden="false" customHeight="true" outlineLevel="0" collapsed="false">
      <c r="B51" s="24" t="s">
        <v>143</v>
      </c>
      <c r="C51" s="61" t="s">
        <v>194</v>
      </c>
      <c r="D51" s="61"/>
    </row>
    <row r="52" customFormat="false" ht="45.75" hidden="false" customHeight="true" outlineLevel="0" collapsed="false">
      <c r="B52" s="24" t="s">
        <v>145</v>
      </c>
      <c r="C52" s="62" t="s">
        <v>195</v>
      </c>
      <c r="D52" s="62"/>
    </row>
    <row r="53" customFormat="false" ht="45.75" hidden="false" customHeight="true" outlineLevel="0" collapsed="false">
      <c r="B53" s="24" t="s">
        <v>147</v>
      </c>
      <c r="C53" s="62" t="s">
        <v>196</v>
      </c>
      <c r="D53" s="62"/>
    </row>
    <row r="54" customFormat="false" ht="45.75" hidden="false" customHeight="true" outlineLevel="0" collapsed="false">
      <c r="B54" s="24" t="s">
        <v>197</v>
      </c>
      <c r="C54" s="61" t="s">
        <v>198</v>
      </c>
      <c r="D54" s="61"/>
    </row>
    <row r="55" customFormat="false" ht="45.75" hidden="false" customHeight="true" outlineLevel="0" collapsed="false">
      <c r="B55" s="24" t="s">
        <v>199</v>
      </c>
      <c r="C55" s="61" t="s">
        <v>200</v>
      </c>
      <c r="D55" s="61"/>
    </row>
    <row r="56" customFormat="false" ht="21.75" hidden="false" customHeight="true" outlineLevel="0" collapsed="false">
      <c r="B56" s="60" t="s">
        <v>170</v>
      </c>
      <c r="C56" s="60"/>
      <c r="D56" s="60"/>
    </row>
    <row r="57" customFormat="false" ht="45.75" hidden="false" customHeight="true" outlineLevel="0" collapsed="false">
      <c r="B57" s="24" t="s">
        <v>145</v>
      </c>
      <c r="C57" s="62" t="s">
        <v>201</v>
      </c>
      <c r="D57" s="62"/>
    </row>
    <row r="58" customFormat="false" ht="7.5" hidden="false" customHeight="true" outlineLevel="0" collapsed="false"/>
    <row r="59" customFormat="false" ht="30" hidden="false" customHeight="true" outlineLevel="0" collapsed="false">
      <c r="B59" s="56" t="s">
        <v>202</v>
      </c>
      <c r="C59" s="56"/>
      <c r="D59" s="56"/>
    </row>
    <row r="60" customFormat="false" ht="21.75" hidden="false" customHeight="true" outlineLevel="0" collapsed="false">
      <c r="B60" s="57" t="s">
        <v>203</v>
      </c>
      <c r="C60" s="57"/>
      <c r="D60" s="57"/>
    </row>
    <row r="61" customFormat="false" ht="45.75" hidden="false" customHeight="true" outlineLevel="0" collapsed="false">
      <c r="B61" s="25" t="s">
        <v>143</v>
      </c>
      <c r="C61" s="58" t="s">
        <v>204</v>
      </c>
      <c r="D61" s="58"/>
    </row>
    <row r="62" customFormat="false" ht="45.75" hidden="false" customHeight="true" outlineLevel="0" collapsed="false">
      <c r="B62" s="25" t="s">
        <v>145</v>
      </c>
      <c r="C62" s="15" t="s">
        <v>205</v>
      </c>
      <c r="D62" s="15"/>
    </row>
    <row r="63" customFormat="false" ht="45.75" hidden="false" customHeight="true" outlineLevel="0" collapsed="false">
      <c r="B63" s="25" t="s">
        <v>206</v>
      </c>
      <c r="C63" s="15" t="s">
        <v>207</v>
      </c>
      <c r="D63" s="15"/>
    </row>
    <row r="64" customFormat="false" ht="45.75" hidden="false" customHeight="true" outlineLevel="0" collapsed="false">
      <c r="B64" s="25" t="s">
        <v>208</v>
      </c>
      <c r="C64" s="15" t="s">
        <v>209</v>
      </c>
      <c r="D64" s="15"/>
    </row>
    <row r="65" customFormat="false" ht="45.75" hidden="false" customHeight="true" outlineLevel="0" collapsed="false">
      <c r="B65" s="25" t="s">
        <v>210</v>
      </c>
      <c r="C65" s="15" t="s">
        <v>211</v>
      </c>
      <c r="D65" s="15"/>
    </row>
    <row r="66" customFormat="false" ht="45.75" hidden="false" customHeight="true" outlineLevel="0" collapsed="false">
      <c r="B66" s="25" t="s">
        <v>212</v>
      </c>
      <c r="C66" s="58" t="s">
        <v>213</v>
      </c>
      <c r="D66" s="58"/>
    </row>
    <row r="67" customFormat="false" ht="45.75" hidden="false" customHeight="true" outlineLevel="0" collapsed="false">
      <c r="B67" s="25" t="s">
        <v>153</v>
      </c>
      <c r="C67" s="58" t="s">
        <v>214</v>
      </c>
      <c r="D67" s="58"/>
    </row>
    <row r="68" customFormat="false" ht="7.5" hidden="false" customHeight="true" outlineLevel="0" collapsed="false"/>
  </sheetData>
  <mergeCells count="60">
    <mergeCell ref="B2:D2"/>
    <mergeCell ref="B3:D3"/>
    <mergeCell ref="B5:D5"/>
    <mergeCell ref="B6:D6"/>
    <mergeCell ref="C7:D7"/>
    <mergeCell ref="C8:D8"/>
    <mergeCell ref="C9:D9"/>
    <mergeCell ref="C10:D10"/>
    <mergeCell ref="C11:D11"/>
    <mergeCell ref="C12:D12"/>
    <mergeCell ref="B13:D13"/>
    <mergeCell ref="C14:D14"/>
    <mergeCell ref="C15:D15"/>
    <mergeCell ref="C16:D16"/>
    <mergeCell ref="C17:D17"/>
    <mergeCell ref="B19:D19"/>
    <mergeCell ref="B20:D20"/>
    <mergeCell ref="C21:D21"/>
    <mergeCell ref="C22:D22"/>
    <mergeCell ref="C23:D23"/>
    <mergeCell ref="C24:D24"/>
    <mergeCell ref="C25:D25"/>
    <mergeCell ref="B26:D26"/>
    <mergeCell ref="C27:D27"/>
    <mergeCell ref="C28:D28"/>
    <mergeCell ref="B30:D30"/>
    <mergeCell ref="B31:D31"/>
    <mergeCell ref="C32:D32"/>
    <mergeCell ref="C33:D33"/>
    <mergeCell ref="C34:D34"/>
    <mergeCell ref="C35:D35"/>
    <mergeCell ref="C36:D36"/>
    <mergeCell ref="C37:D37"/>
    <mergeCell ref="B39:D39"/>
    <mergeCell ref="B40:D40"/>
    <mergeCell ref="C41:D41"/>
    <mergeCell ref="C42:D42"/>
    <mergeCell ref="C43:D43"/>
    <mergeCell ref="C44:D44"/>
    <mergeCell ref="C45:D45"/>
    <mergeCell ref="C46:D46"/>
    <mergeCell ref="C47:D47"/>
    <mergeCell ref="B49:D49"/>
    <mergeCell ref="B50:D50"/>
    <mergeCell ref="C51:D51"/>
    <mergeCell ref="C52:D52"/>
    <mergeCell ref="C53:D53"/>
    <mergeCell ref="C54:D54"/>
    <mergeCell ref="C55:D55"/>
    <mergeCell ref="B56:D56"/>
    <mergeCell ref="C57:D57"/>
    <mergeCell ref="B59:D59"/>
    <mergeCell ref="B60:D60"/>
    <mergeCell ref="C61:D61"/>
    <mergeCell ref="C62:D62"/>
    <mergeCell ref="C63:D63"/>
    <mergeCell ref="C64:D64"/>
    <mergeCell ref="C65:D65"/>
    <mergeCell ref="C66:D66"/>
    <mergeCell ref="C67:D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5A30"/>
    <pageSetUpPr fitToPage="false"/>
  </sheetPr>
  <dimension ref="B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3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215</v>
      </c>
      <c r="C2" s="1"/>
      <c r="D2" s="1"/>
    </row>
    <row r="3" customFormat="false" ht="21.75" hidden="false" customHeight="true" outlineLevel="0" collapsed="false">
      <c r="B3" s="2" t="s">
        <v>216</v>
      </c>
      <c r="C3" s="2"/>
      <c r="D3" s="2"/>
    </row>
    <row r="4" customFormat="false" ht="12" hidden="false" customHeight="true" outlineLevel="0" collapsed="false"/>
    <row r="5" customFormat="false" ht="27.75" hidden="false" customHeight="true" outlineLevel="0" collapsed="false">
      <c r="B5" s="56" t="s">
        <v>217</v>
      </c>
      <c r="C5" s="56"/>
      <c r="D5" s="56"/>
    </row>
    <row r="6" customFormat="false" ht="48" hidden="false" customHeight="true" outlineLevel="0" collapsed="false">
      <c r="B6" s="25" t="s">
        <v>218</v>
      </c>
      <c r="C6" s="58" t="s">
        <v>219</v>
      </c>
      <c r="D6" s="58"/>
    </row>
    <row r="7" customFormat="false" ht="48" hidden="false" customHeight="true" outlineLevel="0" collapsed="false">
      <c r="B7" s="25" t="s">
        <v>220</v>
      </c>
      <c r="C7" s="58" t="s">
        <v>221</v>
      </c>
      <c r="D7" s="58"/>
    </row>
    <row r="8" customFormat="false" ht="48" hidden="false" customHeight="true" outlineLevel="0" collapsed="false">
      <c r="B8" s="25" t="s">
        <v>222</v>
      </c>
      <c r="C8" s="58" t="s">
        <v>223</v>
      </c>
      <c r="D8" s="58"/>
    </row>
    <row r="9" customFormat="false" ht="7.5" hidden="false" customHeight="true" outlineLevel="0" collapsed="false"/>
    <row r="10" customFormat="false" ht="27.75" hidden="false" customHeight="true" outlineLevel="0" collapsed="false">
      <c r="B10" s="63" t="s">
        <v>224</v>
      </c>
      <c r="C10" s="63"/>
      <c r="D10" s="63"/>
    </row>
    <row r="11" customFormat="false" ht="48" hidden="false" customHeight="true" outlineLevel="0" collapsed="false">
      <c r="B11" s="65" t="s">
        <v>225</v>
      </c>
      <c r="C11" s="66" t="s">
        <v>226</v>
      </c>
      <c r="D11" s="66"/>
    </row>
    <row r="12" customFormat="false" ht="48" hidden="false" customHeight="true" outlineLevel="0" collapsed="false">
      <c r="B12" s="65" t="s">
        <v>227</v>
      </c>
      <c r="C12" s="66" t="s">
        <v>228</v>
      </c>
      <c r="D12" s="66"/>
    </row>
    <row r="13" customFormat="false" ht="48" hidden="false" customHeight="true" outlineLevel="0" collapsed="false">
      <c r="B13" s="65" t="s">
        <v>229</v>
      </c>
      <c r="C13" s="66" t="s">
        <v>230</v>
      </c>
      <c r="D13" s="66"/>
    </row>
    <row r="14" customFormat="false" ht="48" hidden="false" customHeight="true" outlineLevel="0" collapsed="false">
      <c r="B14" s="65" t="s">
        <v>231</v>
      </c>
      <c r="C14" s="66" t="s">
        <v>232</v>
      </c>
      <c r="D14" s="66"/>
    </row>
    <row r="15" customFormat="false" ht="7.5" hidden="false" customHeight="true" outlineLevel="0" collapsed="false"/>
    <row r="16" customFormat="false" ht="27.75" hidden="false" customHeight="true" outlineLevel="0" collapsed="false">
      <c r="B16" s="59" t="s">
        <v>233</v>
      </c>
      <c r="C16" s="59"/>
      <c r="D16" s="59"/>
    </row>
    <row r="17" customFormat="false" ht="48" hidden="false" customHeight="true" outlineLevel="0" collapsed="false">
      <c r="B17" s="24" t="s">
        <v>234</v>
      </c>
      <c r="C17" s="61" t="s">
        <v>235</v>
      </c>
      <c r="D17" s="61"/>
    </row>
    <row r="18" customFormat="false" ht="48" hidden="false" customHeight="true" outlineLevel="0" collapsed="false">
      <c r="B18" s="24" t="s">
        <v>236</v>
      </c>
      <c r="C18" s="61" t="s">
        <v>237</v>
      </c>
      <c r="D18" s="61"/>
    </row>
    <row r="19" customFormat="false" ht="48" hidden="false" customHeight="true" outlineLevel="0" collapsed="false">
      <c r="B19" s="24" t="s">
        <v>238</v>
      </c>
      <c r="C19" s="61" t="s">
        <v>239</v>
      </c>
      <c r="D19" s="61"/>
    </row>
    <row r="20" customFormat="false" ht="48" hidden="false" customHeight="true" outlineLevel="0" collapsed="false">
      <c r="B20" s="24" t="s">
        <v>240</v>
      </c>
      <c r="C20" s="61" t="s">
        <v>241</v>
      </c>
      <c r="D20" s="61"/>
    </row>
    <row r="21" customFormat="false" ht="48" hidden="false" customHeight="true" outlineLevel="0" collapsed="false">
      <c r="B21" s="24" t="s">
        <v>242</v>
      </c>
      <c r="C21" s="61" t="s">
        <v>243</v>
      </c>
      <c r="D21" s="61"/>
    </row>
    <row r="22" customFormat="false" ht="7.5" hidden="false" customHeight="true" outlineLevel="0" collapsed="false"/>
    <row r="23" customFormat="false" ht="27.75" hidden="false" customHeight="true" outlineLevel="0" collapsed="false">
      <c r="B23" s="56" t="s">
        <v>244</v>
      </c>
      <c r="C23" s="56"/>
      <c r="D23" s="56"/>
    </row>
    <row r="24" customFormat="false" ht="48" hidden="false" customHeight="true" outlineLevel="0" collapsed="false">
      <c r="B24" s="25" t="s">
        <v>245</v>
      </c>
      <c r="C24" s="58" t="s">
        <v>246</v>
      </c>
      <c r="D24" s="58"/>
    </row>
    <row r="25" customFormat="false" ht="48" hidden="false" customHeight="true" outlineLevel="0" collapsed="false">
      <c r="B25" s="25" t="s">
        <v>247</v>
      </c>
      <c r="C25" s="58" t="s">
        <v>248</v>
      </c>
      <c r="D25" s="58"/>
    </row>
    <row r="26" customFormat="false" ht="48" hidden="false" customHeight="true" outlineLevel="0" collapsed="false">
      <c r="B26" s="25" t="s">
        <v>249</v>
      </c>
      <c r="C26" s="58" t="s">
        <v>250</v>
      </c>
      <c r="D26" s="58"/>
    </row>
    <row r="27" customFormat="false" ht="48" hidden="false" customHeight="true" outlineLevel="0" collapsed="false">
      <c r="B27" s="25" t="s">
        <v>251</v>
      </c>
      <c r="C27" s="58" t="s">
        <v>252</v>
      </c>
      <c r="D27" s="58"/>
    </row>
    <row r="28" customFormat="false" ht="7.5" hidden="false" customHeight="true" outlineLevel="0" collapsed="false"/>
  </sheetData>
  <mergeCells count="22">
    <mergeCell ref="B2:D2"/>
    <mergeCell ref="B3:D3"/>
    <mergeCell ref="B5:D5"/>
    <mergeCell ref="C6:D6"/>
    <mergeCell ref="C7:D7"/>
    <mergeCell ref="C8:D8"/>
    <mergeCell ref="B10:D10"/>
    <mergeCell ref="C11:D11"/>
    <mergeCell ref="C12:D12"/>
    <mergeCell ref="C13:D13"/>
    <mergeCell ref="C14:D14"/>
    <mergeCell ref="B16:D16"/>
    <mergeCell ref="C17:D17"/>
    <mergeCell ref="C18:D18"/>
    <mergeCell ref="C19:D19"/>
    <mergeCell ref="C20:D20"/>
    <mergeCell ref="C21:D21"/>
    <mergeCell ref="B23:D23"/>
    <mergeCell ref="C24:D24"/>
    <mergeCell ref="C25:D25"/>
    <mergeCell ref="C26:D26"/>
    <mergeCell ref="C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500A"/>
    <pageSetUpPr fitToPage="false"/>
  </sheetPr>
  <dimension ref="B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10" min="8" style="0" width="16"/>
    <col collapsed="false" customWidth="true" hidden="false" outlineLevel="0" max="11" min="11" style="0" width="3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253</v>
      </c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B3" s="2" t="s">
        <v>254</v>
      </c>
      <c r="C3" s="2"/>
      <c r="D3" s="2"/>
      <c r="E3" s="2"/>
      <c r="F3" s="2"/>
      <c r="G3" s="2"/>
      <c r="H3" s="2"/>
      <c r="I3" s="2"/>
      <c r="J3" s="2"/>
    </row>
    <row r="4" customFormat="false" ht="12" hidden="false" customHeight="true" outlineLevel="0" collapsed="false"/>
    <row r="5" customFormat="false" ht="30" hidden="false" customHeight="true" outlineLevel="0" collapsed="false">
      <c r="B5" s="9" t="s">
        <v>67</v>
      </c>
      <c r="C5" s="9" t="s">
        <v>255</v>
      </c>
      <c r="D5" s="9" t="s">
        <v>256</v>
      </c>
      <c r="E5" s="9" t="s">
        <v>257</v>
      </c>
      <c r="F5" s="9" t="s">
        <v>258</v>
      </c>
      <c r="G5" s="9" t="s">
        <v>259</v>
      </c>
      <c r="H5" s="9" t="s">
        <v>260</v>
      </c>
      <c r="I5" s="9" t="s">
        <v>261</v>
      </c>
      <c r="J5" s="9" t="s">
        <v>262</v>
      </c>
      <c r="K5" s="9" t="s">
        <v>263</v>
      </c>
    </row>
    <row r="6" customFormat="false" ht="25.5" hidden="false" customHeight="true" outlineLevel="0" collapsed="false">
      <c r="B6" s="26" t="n">
        <v>1</v>
      </c>
      <c r="C6" s="8"/>
      <c r="D6" s="8"/>
      <c r="E6" s="12" t="str">
        <f aca="false">IFERROR(IF(C6="","",C6-D6),"")</f>
        <v/>
      </c>
      <c r="F6" s="8"/>
      <c r="G6" s="6"/>
      <c r="H6" s="30"/>
      <c r="I6" s="72"/>
      <c r="J6" s="73" t="str">
        <f aca="false">IFERROR(IF(G6="","",G6+365),"")</f>
        <v/>
      </c>
    </row>
    <row r="7" customFormat="false" ht="25.5" hidden="false" customHeight="true" outlineLevel="0" collapsed="false">
      <c r="B7" s="26" t="n">
        <v>2</v>
      </c>
      <c r="C7" s="8"/>
      <c r="D7" s="8"/>
      <c r="E7" s="12" t="str">
        <f aca="false">IFERROR(IF(C7="","",C7-D7),"")</f>
        <v/>
      </c>
      <c r="F7" s="8"/>
      <c r="G7" s="6"/>
      <c r="H7" s="30"/>
      <c r="I7" s="72"/>
      <c r="J7" s="73" t="str">
        <f aca="false">IFERROR(IF(G7="","",G7+365),"")</f>
        <v/>
      </c>
    </row>
    <row r="8" customFormat="false" ht="25.5" hidden="false" customHeight="true" outlineLevel="0" collapsed="false">
      <c r="B8" s="26" t="n">
        <v>3</v>
      </c>
      <c r="C8" s="8"/>
      <c r="D8" s="8"/>
      <c r="E8" s="12" t="str">
        <f aca="false">IFERROR(IF(C8="","",C8-D8),"")</f>
        <v/>
      </c>
      <c r="F8" s="8"/>
      <c r="G8" s="6"/>
      <c r="H8" s="30"/>
      <c r="I8" s="72"/>
      <c r="J8" s="73" t="str">
        <f aca="false">IFERROR(IF(G8="","",G8+365),"")</f>
        <v/>
      </c>
    </row>
    <row r="9" customFormat="false" ht="25.5" hidden="false" customHeight="true" outlineLevel="0" collapsed="false">
      <c r="B9" s="26" t="n">
        <v>4</v>
      </c>
      <c r="C9" s="8"/>
      <c r="D9" s="8"/>
      <c r="E9" s="12" t="str">
        <f aca="false">IFERROR(IF(C9="","",C9-D9),"")</f>
        <v/>
      </c>
      <c r="F9" s="8"/>
      <c r="G9" s="6"/>
      <c r="H9" s="30"/>
      <c r="I9" s="72"/>
      <c r="J9" s="73" t="str">
        <f aca="false">IFERROR(IF(G9="","",G9+365),"")</f>
        <v/>
      </c>
    </row>
    <row r="10" customFormat="false" ht="25.5" hidden="false" customHeight="true" outlineLevel="0" collapsed="false">
      <c r="B10" s="26" t="n">
        <v>5</v>
      </c>
      <c r="C10" s="8"/>
      <c r="D10" s="8"/>
      <c r="E10" s="12" t="str">
        <f aca="false">IFERROR(IF(C10="","",C10-D10),"")</f>
        <v/>
      </c>
      <c r="F10" s="8"/>
      <c r="G10" s="6"/>
      <c r="H10" s="30"/>
      <c r="I10" s="72"/>
      <c r="J10" s="73" t="str">
        <f aca="false">IFERROR(IF(G10="","",G10+365),"")</f>
        <v/>
      </c>
    </row>
    <row r="11" customFormat="false" ht="25.5" hidden="false" customHeight="true" outlineLevel="0" collapsed="false">
      <c r="B11" s="26" t="n">
        <v>6</v>
      </c>
      <c r="C11" s="8"/>
      <c r="D11" s="8"/>
      <c r="E11" s="12" t="str">
        <f aca="false">IFERROR(IF(C11="","",C11-D11),"")</f>
        <v/>
      </c>
      <c r="F11" s="8"/>
      <c r="G11" s="6"/>
      <c r="H11" s="30"/>
      <c r="I11" s="72"/>
      <c r="J11" s="73" t="str">
        <f aca="false">IFERROR(IF(G11="","",G11+365),"")</f>
        <v/>
      </c>
    </row>
    <row r="12" customFormat="false" ht="25.5" hidden="false" customHeight="true" outlineLevel="0" collapsed="false">
      <c r="B12" s="26" t="n">
        <v>7</v>
      </c>
      <c r="C12" s="8"/>
      <c r="D12" s="8"/>
      <c r="E12" s="12" t="str">
        <f aca="false">IFERROR(IF(C12="","",C12-D12),"")</f>
        <v/>
      </c>
      <c r="F12" s="8"/>
      <c r="G12" s="6"/>
      <c r="H12" s="30"/>
      <c r="I12" s="72"/>
      <c r="J12" s="73" t="str">
        <f aca="false">IFERROR(IF(G12="","",G12+365),"")</f>
        <v/>
      </c>
    </row>
    <row r="13" customFormat="false" ht="25.5" hidden="false" customHeight="true" outlineLevel="0" collapsed="false">
      <c r="B13" s="26" t="n">
        <v>8</v>
      </c>
      <c r="C13" s="8"/>
      <c r="D13" s="8"/>
      <c r="E13" s="12" t="str">
        <f aca="false">IFERROR(IF(C13="","",C13-D13),"")</f>
        <v/>
      </c>
      <c r="F13" s="8"/>
      <c r="G13" s="6"/>
      <c r="H13" s="30"/>
      <c r="I13" s="72"/>
      <c r="J13" s="73" t="str">
        <f aca="false">IFERROR(IF(G13="","",G13+365),"")</f>
        <v/>
      </c>
    </row>
    <row r="14" customFormat="false" ht="25.5" hidden="false" customHeight="true" outlineLevel="0" collapsed="false">
      <c r="B14" s="26" t="n">
        <v>9</v>
      </c>
      <c r="C14" s="8"/>
      <c r="D14" s="8"/>
      <c r="E14" s="12" t="str">
        <f aca="false">IFERROR(IF(C14="","",C14-D14),"")</f>
        <v/>
      </c>
      <c r="F14" s="8"/>
      <c r="G14" s="6"/>
      <c r="H14" s="30"/>
      <c r="I14" s="72"/>
      <c r="J14" s="73" t="str">
        <f aca="false">IFERROR(IF(G14="","",G14+365),"")</f>
        <v/>
      </c>
    </row>
    <row r="15" customFormat="false" ht="25.5" hidden="false" customHeight="true" outlineLevel="0" collapsed="false">
      <c r="B15" s="26" t="n">
        <v>10</v>
      </c>
      <c r="C15" s="8"/>
      <c r="D15" s="8"/>
      <c r="E15" s="12" t="str">
        <f aca="false">IFERROR(IF(C15="","",C15-D15),"")</f>
        <v/>
      </c>
      <c r="F15" s="8"/>
      <c r="G15" s="6"/>
      <c r="H15" s="30"/>
      <c r="I15" s="72"/>
      <c r="J15" s="73" t="str">
        <f aca="false">IFERROR(IF(G15="","",G15+365),"")</f>
        <v/>
      </c>
    </row>
    <row r="16" customFormat="false" ht="25.5" hidden="false" customHeight="true" outlineLevel="0" collapsed="false">
      <c r="B16" s="26" t="n">
        <v>11</v>
      </c>
      <c r="C16" s="8"/>
      <c r="D16" s="8"/>
      <c r="E16" s="12" t="str">
        <f aca="false">IFERROR(IF(C16="","",C16-D16),"")</f>
        <v/>
      </c>
      <c r="F16" s="8"/>
      <c r="G16" s="6"/>
      <c r="H16" s="30"/>
      <c r="I16" s="72"/>
      <c r="J16" s="73" t="str">
        <f aca="false">IFERROR(IF(G16="","",G16+365),"")</f>
        <v/>
      </c>
    </row>
    <row r="17" customFormat="false" ht="25.5" hidden="false" customHeight="true" outlineLevel="0" collapsed="false">
      <c r="B17" s="26" t="n">
        <v>12</v>
      </c>
      <c r="C17" s="8"/>
      <c r="D17" s="8"/>
      <c r="E17" s="12" t="str">
        <f aca="false">IFERROR(IF(C17="","",C17-D17),"")</f>
        <v/>
      </c>
      <c r="F17" s="8"/>
      <c r="G17" s="6"/>
      <c r="H17" s="30"/>
      <c r="I17" s="72"/>
      <c r="J17" s="73" t="str">
        <f aca="false">IFERROR(IF(G17="","",G17+365),"")</f>
        <v/>
      </c>
    </row>
    <row r="18" customFormat="false" ht="25.5" hidden="false" customHeight="true" outlineLevel="0" collapsed="false">
      <c r="B18" s="26" t="n">
        <v>13</v>
      </c>
      <c r="C18" s="8"/>
      <c r="D18" s="8"/>
      <c r="E18" s="12" t="str">
        <f aca="false">IFERROR(IF(C18="","",C18-D18),"")</f>
        <v/>
      </c>
      <c r="F18" s="8"/>
      <c r="G18" s="6"/>
      <c r="H18" s="30"/>
      <c r="I18" s="72"/>
      <c r="J18" s="73" t="str">
        <f aca="false">IFERROR(IF(G18="","",G18+365),"")</f>
        <v/>
      </c>
    </row>
    <row r="19" customFormat="false" ht="25.5" hidden="false" customHeight="true" outlineLevel="0" collapsed="false">
      <c r="B19" s="26" t="n">
        <v>14</v>
      </c>
      <c r="C19" s="8"/>
      <c r="D19" s="8"/>
      <c r="E19" s="12" t="str">
        <f aca="false">IFERROR(IF(C19="","",C19-D19),"")</f>
        <v/>
      </c>
      <c r="F19" s="8"/>
      <c r="G19" s="6"/>
      <c r="H19" s="30"/>
      <c r="I19" s="72"/>
      <c r="J19" s="73" t="str">
        <f aca="false">IFERROR(IF(G19="","",G19+365),"")</f>
        <v/>
      </c>
    </row>
    <row r="20" customFormat="false" ht="25.5" hidden="false" customHeight="true" outlineLevel="0" collapsed="false">
      <c r="B20" s="26" t="n">
        <v>15</v>
      </c>
      <c r="C20" s="8"/>
      <c r="D20" s="8"/>
      <c r="E20" s="12" t="str">
        <f aca="false">IFERROR(IF(C20="","",C20-D20),"")</f>
        <v/>
      </c>
      <c r="F20" s="8"/>
      <c r="G20" s="6"/>
      <c r="H20" s="30"/>
      <c r="I20" s="72"/>
      <c r="J20" s="73" t="str">
        <f aca="false">IFERROR(IF(G20="","",G20+365),"")</f>
        <v/>
      </c>
    </row>
    <row r="21" customFormat="false" ht="27.75" hidden="false" customHeight="true" outlineLevel="0" collapsed="false">
      <c r="B21" s="36"/>
      <c r="C21" s="9" t="s">
        <v>97</v>
      </c>
      <c r="D21" s="36"/>
      <c r="E21" s="37" t="n">
        <f aca="false">SUM(E6:E20)</f>
        <v>0</v>
      </c>
      <c r="F21" s="37" t="n">
        <f aca="false">SUM(F6:F20)</f>
        <v>0</v>
      </c>
      <c r="G21" s="36"/>
      <c r="H21" s="36"/>
      <c r="I21" s="36"/>
      <c r="J21" s="36"/>
    </row>
    <row r="22" customFormat="false" ht="12" hidden="false" customHeight="true" outlineLevel="0" collapsed="false"/>
    <row r="23" customFormat="false" ht="27.75" hidden="false" customHeight="true" outlineLevel="0" collapsed="false">
      <c r="B23" s="74" t="s">
        <v>264</v>
      </c>
      <c r="C23" s="74"/>
      <c r="D23" s="74"/>
      <c r="E23" s="74"/>
      <c r="F23" s="74"/>
      <c r="G23" s="74"/>
      <c r="H23" s="74"/>
      <c r="I23" s="74"/>
      <c r="J23" s="74"/>
    </row>
    <row r="24" customFormat="false" ht="25.5" hidden="false" customHeight="true" outlineLevel="0" collapsed="false">
      <c r="B24" s="10"/>
      <c r="C24" s="5" t="s">
        <v>265</v>
      </c>
      <c r="D24" s="12" t="n">
        <f aca="false">E21</f>
        <v>0</v>
      </c>
      <c r="E24" s="75"/>
      <c r="F24" s="75"/>
      <c r="G24" s="75"/>
      <c r="H24" s="75"/>
      <c r="I24" s="75"/>
      <c r="J24" s="75"/>
    </row>
    <row r="25" customFormat="false" ht="25.5" hidden="false" customHeight="true" outlineLevel="0" collapsed="false">
      <c r="B25" s="10"/>
      <c r="C25" s="5" t="s">
        <v>266</v>
      </c>
      <c r="D25" s="12" t="n">
        <f aca="false">E21*12</f>
        <v>0</v>
      </c>
      <c r="E25" s="75"/>
      <c r="F25" s="75"/>
      <c r="G25" s="75"/>
      <c r="H25" s="75"/>
      <c r="I25" s="75"/>
      <c r="J25" s="75"/>
    </row>
    <row r="26" customFormat="false" ht="25.5" hidden="false" customHeight="true" outlineLevel="0" collapsed="false">
      <c r="B26" s="10"/>
      <c r="C26" s="5" t="s">
        <v>267</v>
      </c>
      <c r="D26" s="52" t="n">
        <f aca="false">F21</f>
        <v>0</v>
      </c>
      <c r="E26" s="75"/>
      <c r="F26" s="75"/>
      <c r="G26" s="75"/>
      <c r="H26" s="75"/>
      <c r="I26" s="75"/>
      <c r="J26" s="75"/>
    </row>
    <row r="27" customFormat="false" ht="25.5" hidden="false" customHeight="true" outlineLevel="0" collapsed="false">
      <c r="B27" s="10"/>
      <c r="C27" s="5" t="s">
        <v>268</v>
      </c>
      <c r="D27" s="12" t="n">
        <f aca="false">E21*12+F21</f>
        <v>0</v>
      </c>
      <c r="E27" s="75"/>
      <c r="F27" s="75"/>
      <c r="G27" s="75"/>
      <c r="H27" s="75"/>
      <c r="I27" s="75"/>
      <c r="J27" s="75"/>
    </row>
    <row r="28" customFormat="false" ht="25.5" hidden="false" customHeight="true" outlineLevel="0" collapsed="false">
      <c r="B28" s="10"/>
      <c r="C28" s="5" t="s">
        <v>269</v>
      </c>
      <c r="D28" s="11" t="n">
        <f aca="false">COUNTA(G6:G20)</f>
        <v>0</v>
      </c>
      <c r="E28" s="75"/>
      <c r="F28" s="75"/>
      <c r="G28" s="75"/>
      <c r="H28" s="75"/>
      <c r="I28" s="75"/>
      <c r="J28" s="75"/>
    </row>
    <row r="29" customFormat="false" ht="25.5" hidden="false" customHeight="true" outlineLevel="0" collapsed="false">
      <c r="B29" s="10"/>
      <c r="C29" s="5" t="s">
        <v>270</v>
      </c>
      <c r="D29" s="76" t="str">
        <f aca="false">IFERROR(COUNTIF(I6:I20,"Won")/D28,"—")</f>
        <v>—</v>
      </c>
      <c r="E29" s="75"/>
      <c r="F29" s="75"/>
      <c r="G29" s="75"/>
      <c r="H29" s="75"/>
      <c r="I29" s="75"/>
      <c r="J29" s="75"/>
    </row>
    <row r="30" customFormat="false" ht="9.75" hidden="false" customHeight="true" outlineLevel="0" collapsed="false"/>
    <row r="31" customFormat="false" ht="21.75" hidden="false" customHeight="true" outlineLevel="0" collapsed="false">
      <c r="C31" s="38" t="s">
        <v>271</v>
      </c>
      <c r="D31" s="38"/>
      <c r="E31" s="38"/>
      <c r="F31" s="38"/>
      <c r="G31" s="38"/>
      <c r="H31" s="38"/>
      <c r="I31" s="38"/>
      <c r="J31" s="38"/>
    </row>
    <row r="32" customFormat="false" ht="9.75" hidden="false" customHeight="true" outlineLevel="0" collapsed="false"/>
    <row r="33" customFormat="false" ht="27.75" hidden="false" customHeight="true" outlineLevel="0" collapsed="false">
      <c r="C33" s="77" t="s">
        <v>272</v>
      </c>
      <c r="D33" s="77"/>
      <c r="E33" s="77"/>
      <c r="F33" s="77"/>
      <c r="G33" s="77"/>
      <c r="H33" s="77"/>
      <c r="I33" s="77"/>
      <c r="J33" s="77"/>
    </row>
  </sheetData>
  <mergeCells count="11">
    <mergeCell ref="B2:J2"/>
    <mergeCell ref="B3:J3"/>
    <mergeCell ref="B23:J23"/>
    <mergeCell ref="E24:J24"/>
    <mergeCell ref="E25:J25"/>
    <mergeCell ref="E26:J26"/>
    <mergeCell ref="E27:J27"/>
    <mergeCell ref="E28:J28"/>
    <mergeCell ref="E29:J29"/>
    <mergeCell ref="C31:J31"/>
    <mergeCell ref="C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A7517"/>
    <pageSetUpPr fitToPage="false"/>
  </sheetPr>
  <dimension ref="B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3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273</v>
      </c>
      <c r="C2" s="1"/>
      <c r="D2" s="1"/>
      <c r="E2" s="1"/>
    </row>
    <row r="3" customFormat="false" ht="21.75" hidden="false" customHeight="true" outlineLevel="0" collapsed="false">
      <c r="B3" s="2" t="s">
        <v>274</v>
      </c>
      <c r="C3" s="2"/>
      <c r="D3" s="2"/>
      <c r="E3" s="2"/>
    </row>
    <row r="4" customFormat="false" ht="12" hidden="false" customHeight="true" outlineLevel="0" collapsed="false"/>
    <row r="5" customFormat="false" ht="27.75" hidden="false" customHeight="true" outlineLevel="0" collapsed="false">
      <c r="B5" s="16" t="s">
        <v>275</v>
      </c>
      <c r="C5" s="16" t="s">
        <v>276</v>
      </c>
      <c r="D5" s="16" t="s">
        <v>277</v>
      </c>
      <c r="E5" s="16" t="s">
        <v>278</v>
      </c>
    </row>
    <row r="6" customFormat="false" ht="57.75" hidden="false" customHeight="true" outlineLevel="0" collapsed="false">
      <c r="B6" s="78" t="s">
        <v>279</v>
      </c>
      <c r="C6" s="79" t="s">
        <v>280</v>
      </c>
      <c r="D6" s="58" t="s">
        <v>281</v>
      </c>
      <c r="E6" s="6"/>
    </row>
    <row r="7" customFormat="false" ht="57.75" hidden="false" customHeight="true" outlineLevel="0" collapsed="false">
      <c r="B7" s="78" t="s">
        <v>282</v>
      </c>
      <c r="C7" s="80" t="s">
        <v>283</v>
      </c>
      <c r="D7" s="23" t="s">
        <v>284</v>
      </c>
      <c r="E7" s="6"/>
    </row>
    <row r="8" customFormat="false" ht="57.75" hidden="false" customHeight="true" outlineLevel="0" collapsed="false">
      <c r="B8" s="78" t="s">
        <v>285</v>
      </c>
      <c r="C8" s="79" t="s">
        <v>286</v>
      </c>
      <c r="D8" s="58" t="s">
        <v>287</v>
      </c>
      <c r="E8" s="6"/>
    </row>
    <row r="9" customFormat="false" ht="57.75" hidden="false" customHeight="true" outlineLevel="0" collapsed="false">
      <c r="B9" s="78" t="s">
        <v>288</v>
      </c>
      <c r="C9" s="80" t="s">
        <v>289</v>
      </c>
      <c r="D9" s="23" t="s">
        <v>290</v>
      </c>
      <c r="E9" s="6"/>
    </row>
    <row r="10" customFormat="false" ht="57.75" hidden="false" customHeight="true" outlineLevel="0" collapsed="false">
      <c r="B10" s="78" t="s">
        <v>291</v>
      </c>
      <c r="C10" s="79" t="s">
        <v>292</v>
      </c>
      <c r="D10" s="58" t="s">
        <v>293</v>
      </c>
      <c r="E10" s="6"/>
    </row>
    <row r="11" customFormat="false" ht="12" hidden="false" customHeight="true" outlineLevel="0" collapsed="false"/>
    <row r="12" customFormat="false" ht="25.5" hidden="false" customHeight="true" outlineLevel="0" collapsed="false">
      <c r="C12" s="38" t="s">
        <v>294</v>
      </c>
      <c r="D12" s="38"/>
      <c r="E12" s="38"/>
    </row>
    <row r="13" customFormat="false" ht="9.75" hidden="false" customHeight="true" outlineLevel="0" collapsed="false"/>
    <row r="14" customFormat="false" ht="25.5" hidden="false" customHeight="true" outlineLevel="0" collapsed="false">
      <c r="C14" s="77" t="s">
        <v>295</v>
      </c>
      <c r="D14" s="77"/>
      <c r="E14" s="77"/>
    </row>
  </sheetData>
  <mergeCells count="4">
    <mergeCell ref="B2:E2"/>
    <mergeCell ref="B3:E3"/>
    <mergeCell ref="C12:E12"/>
    <mergeCell ref="C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2026-04-01T15:02:49Z</dcterms:created>
  <dc:creator>openpyxl</dc:creator>
  <dc:description/>
  <dc:language>en-US</dc:language>
  <cp:lastModifiedBy/>
  <dcterms:modified xsi:type="dcterms:W3CDTF">2026-04-01T15:02:49Z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