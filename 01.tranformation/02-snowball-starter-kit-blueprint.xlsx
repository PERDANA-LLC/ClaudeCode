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tup" sheetId="1" state="visible" r:id="rId3"/>
    <sheet name="Debt Inventory" sheetId="2" state="visible" r:id="rId4"/>
    <sheet name="30-Day Kill Plan" sheetId="3" state="visible" r:id="rId5"/>
    <sheet name="Snowball Schedule" sheetId="4" state="visible" r:id="rId6"/>
    <sheet name="Negotiation Scripts" sheetId="5" state="visible" r:id="rId7"/>
    <sheet name="Fear Rese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<sst xmlns="http://schemas.openxmlformats.org/spreadsheetml/2006/main" count="258" uniqueCount="210">
  <si>
    <t xml:space="preserve">Kill One Debt in 30 Days — Snowball Starter Kit</t>
  </si>
  <si>
    <t xml:space="preserve">Fill in your debts and 4 inputs below. The system selects your quick-win target automatically.</t>
  </si>
  <si>
    <t xml:space="preserve">YOUR INPUTS — Fill in the yellow cells</t>
  </si>
  <si>
    <t xml:space="preserve">Input 2</t>
  </si>
  <si>
    <t xml:space="preserve">Extra monthly payment for debt</t>
  </si>
  <si>
    <t xml:space="preserve">Amount available beyond all minimums each month</t>
  </si>
  <si>
    <t xml:space="preserve">Input 3</t>
  </si>
  <si>
    <t xml:space="preserve">Which debt feels most crushing?</t>
  </si>
  <si>
    <t xml:space="preserve">Credit Card A</t>
  </si>
  <si>
    <t xml:space="preserve">Type the name from your debt table below</t>
  </si>
  <si>
    <t xml:space="preserve">Input 4</t>
  </si>
  <si>
    <t xml:space="preserve">Ever negotiated with a creditor?</t>
  </si>
  <si>
    <t xml:space="preserve">No</t>
  </si>
  <si>
    <t xml:space="preserve">Yes / No / Not sure what that means</t>
  </si>
  <si>
    <t xml:space="preserve">Input 5</t>
  </si>
  <si>
    <t xml:space="preserve">Biggest debt fear</t>
  </si>
  <si>
    <t xml:space="preserve">I'll never pay it all off</t>
  </si>
  <si>
    <t xml:space="preserve">I'll never pay it all off / I'll miss a payment / I don't know if I'm doing this right</t>
  </si>
  <si>
    <t xml:space="preserve">QUICK-WIN TARGET — Auto-selected from your debt table</t>
  </si>
  <si>
    <t xml:space="preserve">Quick-win debt (lowest balance)</t>
  </si>
  <si>
    <t xml:space="preserve">Balance to eliminate</t>
  </si>
  <si>
    <t xml:space="preserve">Minimum payment</t>
  </si>
  <si>
    <t xml:space="preserve">Total monthly attack (min + extra)</t>
  </si>
  <si>
    <t xml:space="preserve">Estimated months to kill it</t>
  </si>
  <si>
    <t xml:space="preserve">Your psychological choice (Input 3)</t>
  </si>
  <si>
    <t xml:space="preserve">Math choice = psychological choice?</t>
  </si>
  <si>
    <t xml:space="preserve">HOW TO USE THIS WORKBOOK</t>
  </si>
  <si>
    <t xml:space="preserve">You fill in your debts and 4 yellow cells above — the workbook does the rest. Follow the 4 steps below. Your only job this week: kill debt #1.</t>
  </si>
  <si>
    <t xml:space="preserve">STEP 1</t>
  </si>
  <si>
    <t xml:space="preserve">Enter all your debts in the Debt Inventory tab</t>
  </si>
  <si>
    <t xml:space="preserve">→</t>
  </si>
  <si>
    <t xml:space="preserve">Go to the Debt Inventory tab — enter every debt you owe (up to 10).</t>
  </si>
  <si>
    <t xml:space="preserve">For each debt: creditor name, current balance, minimum monthly payment, and interest rate (APR).</t>
  </si>
  <si>
    <t xml:space="preserve">Don't worry about being exact — estimates are fine to start.</t>
  </si>
  <si>
    <t xml:space="preserve">Come back here after entering debts — your quick-win target will auto-populate above.</t>
  </si>
  <si>
    <t xml:space="preserve">Input 2 above (extra monthly payment) is the most important number — even $25/month matters.</t>
  </si>
  <si>
    <t xml:space="preserve">STEP 2</t>
  </si>
  <si>
    <t xml:space="preserve">Confirm your quick-win target (this tab, above)</t>
  </si>
  <si>
    <t xml:space="preserve">The quick-win target auto-selects your lowest-balance debt — this is where you attack first.</t>
  </si>
  <si>
    <t xml:space="preserve">Check if your psychological choice (Input 3) matches the math recommendation.</t>
  </si>
  <si>
    <t xml:space="preserve">If they differ, review both options — but generally trust the math for fastest momentum.</t>
  </si>
  <si>
    <t xml:space="preserve">All other debts get minimum payments only until debt #1 is eliminated.</t>
  </si>
  <si>
    <t xml:space="preserve">Once debt #1 is gone, its payment amount rolls into debt #2 — that's the snowball.</t>
  </si>
  <si>
    <t xml:space="preserve">STEP 3</t>
  </si>
  <si>
    <t xml:space="preserve">Follow the 30-Day Kill Plan tab — one week at a time</t>
  </si>
  <si>
    <t xml:space="preserve">The 30-Day Kill Plan tab has 4 weekly actions for your quick-win debt only.</t>
  </si>
  <si>
    <t xml:space="preserve">Week 1: call your creditor + make your first extra payment this week.</t>
  </si>
  <si>
    <t xml:space="preserve">Weeks 2–4: fixed weekly payment schedule with exact amounts.</t>
  </si>
  <si>
    <t xml:space="preserve">Check each action off as done — the tab tracks your progress.</t>
  </si>
  <si>
    <t xml:space="preserve">Do not look at your other debts until debt #1 hits $0.</t>
  </si>
  <si>
    <t xml:space="preserve">STEP 4</t>
  </si>
  <si>
    <t xml:space="preserve">Use the reference tabs when needed</t>
  </si>
  <si>
    <t xml:space="preserve">Snowball Schedule — shows every debt's payoff date in sequence. Reference only, no action now.</t>
  </si>
  <si>
    <t xml:space="preserve">Negotiation Scripts — word-for-word call script matched to your creditor type. Use before calling.</t>
  </si>
  <si>
    <t xml:space="preserve">Fear Reset — one-page strategy matched to your Input 5 fear. Read once, then execute.</t>
  </si>
  <si>
    <t xml:space="preserve">Update your debt balances monthly as you make payments — the schedule recalculates automatically.</t>
  </si>
  <si>
    <t xml:space="preserve">When debt #1 hits $0, go to the Snowball Schedule tab to confirm debt #2 becomes the new target.</t>
  </si>
  <si>
    <t xml:space="preserve">COLOR LEGEND</t>
  </si>
  <si>
    <t xml:space="preserve">Yellow cell</t>
  </si>
  <si>
    <t xml:space="preserve">Fill this in — your input</t>
  </si>
  <si>
    <t xml:space="preserve">Teal cell</t>
  </si>
  <si>
    <t xml:space="preserve">Auto-calculated — do not edit</t>
  </si>
  <si>
    <t xml:space="preserve">Coral cell</t>
  </si>
  <si>
    <t xml:space="preserve">Quick-win / action items</t>
  </si>
  <si>
    <t xml:space="preserve">Purple cell</t>
  </si>
  <si>
    <t xml:space="preserve">Label / category tag</t>
  </si>
  <si>
    <t xml:space="preserve">Gray cell</t>
  </si>
  <si>
    <t xml:space="preserve">Pre-filled example or reference</t>
  </si>
  <si>
    <t xml:space="preserve">Amber cell</t>
  </si>
  <si>
    <t xml:space="preserve">Tip or important note</t>
  </si>
  <si>
    <t xml:space="preserve">Setup time: ~10 min  |  Week 1 action: ~15 min (call + payment)  |  Goal: debt #1 at $0 in 30 days</t>
  </si>
  <si>
    <t xml:space="preserve">Debt Inventory — Enter All Your Debts Here</t>
  </si>
  <si>
    <t xml:space="preserve">List every debt. Smallest balance first is ideal but not required — the system sorts automatically.</t>
  </si>
  <si>
    <t xml:space="preserve">#</t>
  </si>
  <si>
    <t xml:space="preserve">Creditor / Debt Name</t>
  </si>
  <si>
    <t xml:space="preserve">Current Balance</t>
  </si>
  <si>
    <t xml:space="preserve">Min. Payment</t>
  </si>
  <si>
    <t xml:space="preserve">APR %</t>
  </si>
  <si>
    <t xml:space="preserve">Debt Type</t>
  </si>
  <si>
    <t xml:space="preserve">Snowball Order</t>
  </si>
  <si>
    <t xml:space="preserve">Status</t>
  </si>
  <si>
    <t xml:space="preserve">Credit Card</t>
  </si>
  <si>
    <t xml:space="preserve">Medical Bill</t>
  </si>
  <si>
    <t xml:space="preserve">Medical</t>
  </si>
  <si>
    <t xml:space="preserve">Personal Loan</t>
  </si>
  <si>
    <t xml:space="preserve">Credit Card B</t>
  </si>
  <si>
    <t xml:space="preserve">Auto Loan</t>
  </si>
  <si>
    <t xml:space="preserve">TOTALS</t>
  </si>
  <si>
    <t xml:space="preserve">DEBT SUMMARY</t>
  </si>
  <si>
    <t xml:space="preserve">Total debt balance</t>
  </si>
  <si>
    <t xml:space="preserve">Total minimum payments/mo</t>
  </si>
  <si>
    <t xml:space="preserve">Extra payment (from Setup)</t>
  </si>
  <si>
    <t xml:space="preserve">Total monthly attack</t>
  </si>
  <si>
    <t xml:space="preserve">Number of debts</t>
  </si>
  <si>
    <t xml:space="preserve">Avg interest rate</t>
  </si>
  <si>
    <t xml:space="preserve">Note: Enter APR as a number (e.g. 24.99 for 24.99%). Replace sample data with your actual debts. All rows are editable.</t>
  </si>
  <si>
    <t xml:space="preserve">30-Day Kill Plan — Debt #1 Only</t>
  </si>
  <si>
    <t xml:space="preserve">One debt. Four weeks. Follow only this tab until debt #1 hits $0. Everything else gets minimums.</t>
  </si>
  <si>
    <t xml:space="preserve">TARGET DEBT</t>
  </si>
  <si>
    <t xml:space="preserve">Debt to kill</t>
  </si>
  <si>
    <t xml:space="preserve">Starting balance</t>
  </si>
  <si>
    <t xml:space="preserve">Monthly attack</t>
  </si>
  <si>
    <t xml:space="preserve">Est. months to $0</t>
  </si>
  <si>
    <t xml:space="preserve">Week</t>
  </si>
  <si>
    <t xml:space="preserve">Action</t>
  </si>
  <si>
    <t xml:space="preserve">Details</t>
  </si>
  <si>
    <t xml:space="preserve">Done?</t>
  </si>
  <si>
    <t xml:space="preserve">Week 1</t>
  </si>
  <si>
    <t xml:space="preserve">Call creditor + make first extra payment</t>
  </si>
  <si>
    <t xml:space="preserve">Call the number on the back of your card/statement. Use the Negotiation Scripts tab. Ask for a rate reduction. Then make your payment: minimum + all of your extra amount from Input 2.</t>
  </si>
  <si>
    <t xml:space="preserve">Week 2</t>
  </si>
  <si>
    <t xml:space="preserve">Make your scheduled payment — no extra actions</t>
  </si>
  <si>
    <t xml:space="preserve">Pay exactly: minimum payment + extra payment amount. Set up autopay if you haven't already (see Auto-Pay checklist in Fear Reset tab). Do not touch this debt's balance mentally — just pay.</t>
  </si>
  <si>
    <t xml:space="preserve">Week 3</t>
  </si>
  <si>
    <t xml:space="preserve">Make your scheduled payment + check balance</t>
  </si>
  <si>
    <t xml:space="preserve">Make the same payment as Week 2. Log in and check the actual balance. Update cell D7 above with the new balance. Confirm the estimated payoff month in Setup tab still looks right.</t>
  </si>
  <si>
    <t xml:space="preserve">Week 4</t>
  </si>
  <si>
    <t xml:space="preserve">Final payment push — apply any windfalls</t>
  </si>
  <si>
    <t xml:space="preserve">Make your regular payment. If any extra money came in this month (overtime, sold item, refund), apply 100% of it to this debt. Update balance in D7. If at $0 — go to Snowball Schedule tab.</t>
  </si>
  <si>
    <t xml:space="preserve">MONTHLY BALANCE TRACKER</t>
  </si>
  <si>
    <t xml:space="preserve">Month</t>
  </si>
  <si>
    <t xml:space="preserve">Starting Balance</t>
  </si>
  <si>
    <t xml:space="preserve">Payments Made</t>
  </si>
  <si>
    <t xml:space="preserve">Ending Balance</t>
  </si>
  <si>
    <t xml:space="preserve">Month 1</t>
  </si>
  <si>
    <t xml:space="preserve">Month 2</t>
  </si>
  <si>
    <t xml:space="preserve">Month 3</t>
  </si>
  <si>
    <t xml:space="preserve">Month 4</t>
  </si>
  <si>
    <t xml:space="preserve">Month 5</t>
  </si>
  <si>
    <t xml:space="preserve">Month 6</t>
  </si>
  <si>
    <t xml:space="preserve">When debt #1 reaches $0 in the Ending Balance column — celebrate, then open the Snowball Schedule tab to activate debt #2.</t>
  </si>
  <si>
    <t xml:space="preserve">Full Snowball Payoff Schedule</t>
  </si>
  <si>
    <t xml:space="preserve">Reference only — shows all debts in sequence. No action needed here until debt #1 is gone.</t>
  </si>
  <si>
    <t xml:space="preserve">Order</t>
  </si>
  <si>
    <t xml:space="preserve">Creditor</t>
  </si>
  <si>
    <t xml:space="preserve">Balance</t>
  </si>
  <si>
    <t xml:space="preserve">Extra Payment</t>
  </si>
  <si>
    <t xml:space="preserve">Monthly Attack</t>
  </si>
  <si>
    <t xml:space="preserve">Est. Months</t>
  </si>
  <si>
    <t xml:space="preserve">Cumulative Mo.</t>
  </si>
  <si>
    <t xml:space="preserve">TOTAL DEBT</t>
  </si>
  <si>
    <t xml:space="preserve">Snowball logic: when each debt hits $0, its full monthly attack amount rolls into the next debt. The "extra payment" grows with every win.</t>
  </si>
  <si>
    <t xml:space="preserve">Next step: Once all debts are eliminated, see product 09 — Automate Your Finances in One Saturday ($37) — to automate savings and investments the same way.</t>
  </si>
  <si>
    <t xml:space="preserve">Rate Negotiation Scripts — Word for Word</t>
  </si>
  <si>
    <t xml:space="preserve">Use whichever script matches your creditor type. Estimated call time: 8 minutes. Best time to call: Tuesday–Thursday, 10am–2pm.</t>
  </si>
  <si>
    <t xml:space="preserve">Script: Credit Card</t>
  </si>
  <si>
    <t xml:space="preserve">Before you call</t>
  </si>
  <si>
    <t xml:space="preserve">Have ready: account number, current balance, how long you've been a customer, your on-time payment history. Pull up a competitor's lower rate offer if you have one.</t>
  </si>
  <si>
    <t xml:space="preserve">Opening line</t>
  </si>
  <si>
    <t xml:space="preserve">"Hi, I've been a customer for [X years] and I always pay on time. I'm looking at my finances and working to pay down debt faster. I'd like to request a lower interest rate on my account."</t>
  </si>
  <si>
    <t xml:space="preserve">If they ask why</t>
  </si>
  <si>
    <t xml:space="preserve">"I've received offers from other cards at lower rates, and I'd prefer to stay with you. Reducing my rate would help me pay this balance off faster and keep me as a long-term customer."</t>
  </si>
  <si>
    <t xml:space="preserve">The ask</t>
  </si>
  <si>
    <t xml:space="preserve">"Can you reduce my APR from [current rate]% to something in the [target — 3–5% lower]% range?"</t>
  </si>
  <si>
    <t xml:space="preserve">If they say no</t>
  </si>
  <si>
    <t xml:space="preserve">"I understand. Is there a promotional rate or balance transfer option available? Or can you note my request and have a supervisor review it?"</t>
  </si>
  <si>
    <t xml:space="preserve">Close</t>
  </si>
  <si>
    <t xml:space="preserve">"Thank you. Can you email me confirmation of any changes made today? And can I ask — what would I need to do to qualify for a rate reduction in the future?"</t>
  </si>
  <si>
    <t xml:space="preserve">Script: Medical Debt</t>
  </si>
  <si>
    <t xml:space="preserve">Medical debt is the most negotiable. Hospitals write off large amounts. You can often settle for 30–50 cents on the dollar. Have your bill number and total amount ready.</t>
  </si>
  <si>
    <t xml:space="preserve">"Hi, I received a bill for [amount] from [provider name]. I want to pay this but I'm having financial difficulty. I'd like to discuss a reduction or payment plan."</t>
  </si>
  <si>
    <t xml:space="preserve">The ask — reduction</t>
  </si>
  <si>
    <t xml:space="preserve">"I can pay [30–50% of bill] as a lump sum today if you can accept that as payment in full. Can you authorize that?"</t>
  </si>
  <si>
    <t xml:space="preserve">The ask — plan</t>
  </si>
  <si>
    <t xml:space="preserve">"If a lump sum isn't possible, can you set up a payment plan with no interest? I can pay $[amount] per month."</t>
  </si>
  <si>
    <t xml:space="preserve">If they transfer you</t>
  </si>
  <si>
    <t xml:space="preserve">Ask to speak with the financial counselor or patient advocate — they have more authority than billing reps.</t>
  </si>
  <si>
    <t xml:space="preserve">"Can you send me written confirmation of the agreed amount before I make payment? I won't pay until I have that in writing."</t>
  </si>
  <si>
    <t xml:space="preserve">Script: Personal Loan</t>
  </si>
  <si>
    <t xml:space="preserve">Personal loans are harder to negotiate rate-wise, but you can often request a hardship plan, skip-a-payment option, or refinance at a lower rate. Have your loan number and balance ready.</t>
  </si>
  <si>
    <t xml:space="preserve">"Hi, I'm calling about my personal loan account [number]. I'm working to pay this down faster and I want to discuss options for reducing my rate or payments."</t>
  </si>
  <si>
    <t xml:space="preserve">The ask — refinance</t>
  </si>
  <si>
    <t xml:space="preserve">"Do you offer refinancing for existing customers? I'd like to explore whether I can get a lower rate given my payment history."</t>
  </si>
  <si>
    <t xml:space="preserve">The ask — hardship</t>
  </si>
  <si>
    <t xml:space="preserve">"I'm going through a temporary financial hardship. Is there a hardship program or temporary rate reduction available while I get back on track?"</t>
  </si>
  <si>
    <t xml:space="preserve">"Can you review my account and tell me what would qualify me for a better rate? I'd like to work toward that."</t>
  </si>
  <si>
    <t xml:space="preserve">"Thank you. Can you note this call on my account and send me any options in writing?"</t>
  </si>
  <si>
    <t xml:space="preserve">Fear Reset — Your Personalized Mindset Fix</t>
  </si>
  <si>
    <t xml:space="preserve">If your fear is: "I'll never pay it all off"</t>
  </si>
  <si>
    <t xml:space="preserve">The math proof</t>
  </si>
  <si>
    <t xml:space="preserve">Open the Snowball Schedule tab. Find the cumulative months column for your last debt. That number is your finish line. Most people are shocked it's under 3 years.</t>
  </si>
  <si>
    <t xml:space="preserve">Reframe</t>
  </si>
  <si>
    <t xml:space="preserve">You're not paying off debt 'someday.' You have a date. The system just calculated it. Every payment moves that date closer.</t>
  </si>
  <si>
    <t xml:space="preserve">Your finish-line formula</t>
  </si>
  <si>
    <t xml:space="preserve">Total debt ÷ total monthly attack = months to debt-free. Write that date on a sticky note. That date is real.</t>
  </si>
  <si>
    <t xml:space="preserve">Action this week</t>
  </si>
  <si>
    <t xml:space="preserve">Calculate your finish-line date from the Snowball Schedule. Write it down. Set a calendar reminder for that month with the note: 'Debt-free date.'</t>
  </si>
  <si>
    <t xml:space="preserve">When the fear returns</t>
  </si>
  <si>
    <t xml:space="preserve">Reopen the Snowball Schedule. Look at your cumulative months column. Numbers don't lie. Feelings do.</t>
  </si>
  <si>
    <t xml:space="preserve">If your fear is: "I'll mess up and miss a payment"</t>
  </si>
  <si>
    <t xml:space="preserve">Auto-pay checklist</t>
  </si>
  <si>
    <t xml:space="preserve">Step 1: Log into each creditor's website. Step 2: Enable autopay for at least the minimum payment. Step 3: Set a calendar reminder 3 days before each due date as a backup.</t>
  </si>
  <si>
    <t xml:space="preserve">The buffer rule</t>
  </si>
  <si>
    <t xml:space="preserve">Keep $200–$300 in checking beyond your normal spending. This is your 'forgot to transfer' buffer. It covers one missed autopay without late fees.</t>
  </si>
  <si>
    <t xml:space="preserve">What happens if you miss one</t>
  </si>
  <si>
    <t xml:space="preserve">A single missed payment triggers a late fee ($25–$40) and a potential rate hike — not a catastrophe. Call the creditor the same day and ask for a one-time fee waiver. They usually say yes.</t>
  </si>
  <si>
    <t xml:space="preserve">Set up autopay for your quick-win debt today. It takes 5 minutes. Use the minimum payment amount — you'll manually add the extra on top.</t>
  </si>
  <si>
    <t xml:space="preserve">Build the habit</t>
  </si>
  <si>
    <t xml:space="preserve">Every payday: open your bank app, verify the autopay transferred, make your extra payment manually. Two minutes. Every payday.</t>
  </si>
  <si>
    <t xml:space="preserve">If your fear is: "I don't know if I'm doing this right"</t>
  </si>
  <si>
    <t xml:space="preserve">Snowball validation — 3 checks</t>
  </si>
  <si>
    <t xml:space="preserve">Check 1: Are you paying minimums on all debts except #1? Check 2: Is 100% of your extra payment going to debt #1? Check 3: Are you not adding new debt? If yes to all 3 — you are doing it right.</t>
  </si>
  <si>
    <t xml:space="preserve">Why snowball works</t>
  </si>
  <si>
    <t xml:space="preserve">Smallest balance first gives you the fastest psychological win. Research shows momentum from quick wins leads to higher total payoff rates than mathematically optimal (avalanche) methods.</t>
  </si>
  <si>
    <t xml:space="preserve">The only mistake</t>
  </si>
  <si>
    <t xml:space="preserve">The only way to do this wrong is to stop. Slow payments, inconsistent amounts, missed weeks — all fine. Stopping = the only wrong answer.</t>
  </si>
  <si>
    <t xml:space="preserve">What to ignore</t>
  </si>
  <si>
    <t xml:space="preserve">Ignore anyone who says avalanche (highest rate first) is better. It's marginally better mathematically. Snowball is better behaviorally. You bought this kit — stick to it.</t>
  </si>
  <si>
    <t xml:space="preserve">Your progress check</t>
  </si>
  <si>
    <t xml:space="preserve">Open the 30-Day Kill Plan tab. If you made at least one extra payment this month beyond the minimum — you are ahead of 80% of people with debt. Keep going.</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</si>
</sst>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33">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9FE1CB"/>
      <name val="Arial"/>
      <family val="0"/>
      <charset val="1"/>
    </font>
    <font>
      <b val="true"/>
      <sz val="12"/>
      <color rgb="FFFFFFFF"/>
      <name val="Arial"/>
      <family val="0"/>
      <charset val="1"/>
    </font>
    <font>
      <b val="true"/>
      <sz val="10"/>
      <color rgb="FF7F77DD"/>
      <name val="Arial"/>
      <family val="0"/>
      <charset val="1"/>
    </font>
    <font>
      <sz val="11"/>
      <color rgb="FF1A1A1A"/>
      <name val="Arial"/>
      <family val="0"/>
      <charset val="1"/>
    </font>
    <font>
      <b val="true"/>
      <sz val="11"/>
      <color rgb="FF0000FF"/>
      <name val="Arial"/>
      <family val="0"/>
      <charset val="1"/>
    </font>
    <font>
      <sz val="9"/>
      <color rgb="FF888888"/>
      <name val="Arial"/>
      <family val="0"/>
      <charset val="1"/>
    </font>
    <font>
      <b val="true"/>
      <sz val="11"/>
      <color rgb="FFFFFFFF"/>
      <name val="Arial"/>
      <family val="0"/>
      <charset val="1"/>
    </font>
    <font>
      <b val="true"/>
      <sz val="11"/>
      <color rgb="FF1A1A1A"/>
      <name val="Arial"/>
      <family val="0"/>
      <charset val="1"/>
    </font>
    <font>
      <b val="true"/>
      <sz val="13"/>
      <color rgb="FFFFFFFF"/>
      <name val="Arial"/>
      <family val="0"/>
      <charset val="1"/>
    </font>
    <font>
      <sz val="10"/>
      <color rgb="FF712B13"/>
      <name val="Arial"/>
      <family val="0"/>
      <charset val="1"/>
    </font>
    <font>
      <b val="true"/>
      <sz val="10"/>
      <color rgb="FFD85A30"/>
      <name val="Arial"/>
      <family val="0"/>
      <charset val="1"/>
    </font>
    <font>
      <b val="true"/>
      <sz val="10"/>
      <color rgb="FF1D9E75"/>
      <name val="Arial"/>
      <family val="0"/>
      <charset val="1"/>
    </font>
    <font>
      <sz val="10"/>
      <color rgb="FF0C447C"/>
      <name val="Arial"/>
      <family val="0"/>
      <charset val="1"/>
    </font>
    <font>
      <b val="true"/>
      <sz val="10"/>
      <color rgb="FF1A1A1A"/>
      <name val="Arial"/>
      <family val="0"/>
      <charset val="1"/>
    </font>
    <font>
      <sz val="10"/>
      <color rgb="FF1A1A1A"/>
      <name val="Arial"/>
      <family val="0"/>
      <charset val="1"/>
    </font>
    <font>
      <b val="true"/>
      <sz val="10"/>
      <color rgb="FF085041"/>
      <name val="Arial"/>
      <family val="0"/>
      <charset val="1"/>
    </font>
    <font>
      <b val="true"/>
      <sz val="10"/>
      <color rgb="FF712B13"/>
      <name val="Arial"/>
      <family val="0"/>
      <charset val="1"/>
    </font>
    <font>
      <b val="true"/>
      <sz val="10"/>
      <color rgb="FFBA7517"/>
      <name val="Arial"/>
      <family val="0"/>
      <charset val="1"/>
    </font>
    <font>
      <sz val="9"/>
      <color rgb="FFBA7517"/>
      <name val="Arial"/>
      <family val="0"/>
      <charset val="1"/>
    </font>
    <font>
      <b val="true"/>
      <sz val="11"/>
      <color rgb="FF712B13"/>
      <name val="Arial"/>
      <family val="0"/>
      <charset val="1"/>
    </font>
    <font>
      <b val="true"/>
      <sz val="10"/>
      <color rgb="FFFFFFFF"/>
      <name val="Arial"/>
      <family val="0"/>
      <charset val="1"/>
    </font>
    <font>
      <b val="true"/>
      <sz val="12"/>
      <color rgb="FF0000FF"/>
      <name val="Arial"/>
      <family val="0"/>
      <charset val="1"/>
    </font>
    <font>
      <sz val="9"/>
      <color rgb="FF1D9E75"/>
      <name val="Arial"/>
      <family val="0"/>
      <charset val="1"/>
    </font>
    <font>
      <b val="true"/>
      <sz val="10"/>
      <color rgb="FF27500A"/>
      <name val="Arial"/>
      <family val="0"/>
      <charset val="1"/>
    </font>
    <font>
      <b val="true"/>
      <sz val="10"/>
      <color rgb="FF0C447C"/>
      <name val="Arial"/>
      <family val="0"/>
      <charset val="1"/>
    </font>
    <font>
      <b val="true"/>
      <sz val="11"/>
      <color rgb="FFD85A30"/>
      <name val="Arial"/>
      <family val="0"/>
      <charset val="1"/>
    </font>
    <font>
      <b val="true"/>
      <sz val="11"/>
      <color rgb="FF1D9E75"/>
      <name val="Arial"/>
      <family val="0"/>
      <charset val="1"/>
    </font>
    <font>
      <sz val="10"/>
      <color rgb="FF085041"/>
      <name val="Arial"/>
      <family val="0"/>
      <charset val="1"/>
    </font>
  </fonts>
  <fills count="14">
    <fill>
      <patternFill patternType="none"/>
    </fill>
    <fill>
      <patternFill patternType="gray125"/>
    </fill>
    <fill>
      <patternFill patternType="solid">
        <fgColor rgb="FF0D1B3E"/>
        <bgColor rgb="FF1A1A1A"/>
      </patternFill>
    </fill>
    <fill>
      <patternFill patternType="solid">
        <fgColor rgb="FFD85A30"/>
        <bgColor rgb="FFBA7517"/>
      </patternFill>
    </fill>
    <fill>
      <patternFill patternType="solid">
        <fgColor rgb="FFEEEDFE"/>
        <bgColor rgb="FFE6F1FB"/>
      </patternFill>
    </fill>
    <fill>
      <patternFill patternType="solid">
        <fgColor rgb="FFF5F5F5"/>
        <bgColor rgb="FFEEEDFE"/>
      </patternFill>
    </fill>
    <fill>
      <patternFill patternType="solid">
        <fgColor rgb="FFFFFF00"/>
        <bgColor rgb="FFFFFF00"/>
      </patternFill>
    </fill>
    <fill>
      <patternFill patternType="solid">
        <fgColor rgb="FFFFFFFF"/>
        <bgColor rgb="FFF5F5F5"/>
      </patternFill>
    </fill>
    <fill>
      <patternFill patternType="solid">
        <fgColor rgb="FFE1F5EE"/>
        <bgColor rgb="FFE6F1FB"/>
      </patternFill>
    </fill>
    <fill>
      <patternFill patternType="solid">
        <fgColor rgb="FFFAECE7"/>
        <bgColor rgb="FFFAEEDA"/>
      </patternFill>
    </fill>
    <fill>
      <patternFill patternType="solid">
        <fgColor rgb="FFE6F1FB"/>
        <bgColor rgb="FFEEEDFE"/>
      </patternFill>
    </fill>
    <fill>
      <patternFill patternType="solid">
        <fgColor rgb="FFFAEEDA"/>
        <bgColor rgb="FFFAECE7"/>
      </patternFill>
    </fill>
    <fill>
      <patternFill patternType="solid">
        <fgColor rgb="FF1D9E75"/>
        <bgColor rgb="FF008080"/>
      </patternFill>
    </fill>
    <fill>
      <patternFill patternType="solid">
        <fgColor rgb="FFEAF3DE"/>
        <bgColor rgb="FFE1F5EE"/>
      </patternFill>
    </fill>
  </fills>
  <borders count="3">
    <border diagonalUp="false" diagonalDown="false">
      <left/>
      <right/>
      <top/>
      <bottom/>
      <diagonal/>
    </border>
    <border diagonalUp="false" diagonalDown="false">
      <left style="thin">
        <color rgb="FFD3D1C7"/>
      </left>
      <right/>
      <top style="thin">
        <color rgb="FFD3D1C7"/>
      </top>
      <bottom style="thin">
        <color rgb="FFD3D1C7"/>
      </bottom>
      <diagonal/>
    </border>
    <border diagonalUp="false" diagonalDown="false">
      <left style="thin">
        <color rgb="FFD3D1C7"/>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5" fontId="9" fillId="6" borderId="2" xfId="0" applyFont="true" applyBorder="true" applyAlignment="true" applyProtection="false">
      <alignment horizontal="center" vertical="center" textRotation="0" wrapText="true" indent="0" shrinkToFit="false"/>
      <protection locked="true" hidden="false"/>
    </xf>
    <xf numFmtId="164" fontId="10" fillId="7" borderId="0"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5" fontId="12" fillId="8" borderId="2" xfId="0" applyFont="true" applyBorder="true" applyAlignment="true" applyProtection="false">
      <alignment horizontal="center" vertical="center" textRotation="0" wrapText="true" indent="0" shrinkToFit="false"/>
      <protection locked="true" hidden="false"/>
    </xf>
    <xf numFmtId="165" fontId="8" fillId="7" borderId="2" xfId="0" applyFont="true" applyBorder="true" applyAlignment="true" applyProtection="false">
      <alignment horizontal="center" vertical="center" textRotation="0" wrapText="true" indent="0" shrinkToFit="false"/>
      <protection locked="true" hidden="false"/>
    </xf>
    <xf numFmtId="166" fontId="12" fillId="8"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14" fillId="9" borderId="2"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left" vertical="center" textRotation="0" wrapText="true" indent="0" shrinkToFit="false"/>
      <protection locked="true" hidden="false"/>
    </xf>
    <xf numFmtId="164" fontId="16" fillId="10" borderId="2" xfId="0" applyFont="true" applyBorder="true" applyAlignment="true" applyProtection="false">
      <alignment horizontal="center" vertical="center" textRotation="0" wrapText="true" indent="0" shrinkToFit="false"/>
      <protection locked="true" hidden="false"/>
    </xf>
    <xf numFmtId="164" fontId="17" fillId="10" borderId="2" xfId="0" applyFont="true" applyBorder="true" applyAlignment="true" applyProtection="false">
      <alignment horizontal="left" vertical="center" textRotation="0" wrapText="true" indent="0" shrinkToFit="false"/>
      <protection locked="true" hidden="false"/>
    </xf>
    <xf numFmtId="164" fontId="18" fillId="6" borderId="2" xfId="0" applyFont="true" applyBorder="true" applyAlignment="true" applyProtection="false">
      <alignment horizontal="center" vertical="center" textRotation="0" wrapText="true" indent="0" shrinkToFit="false"/>
      <protection locked="true" hidden="false"/>
    </xf>
    <xf numFmtId="164" fontId="19" fillId="7" borderId="2" xfId="0" applyFont="true" applyBorder="true" applyAlignment="true" applyProtection="false">
      <alignment horizontal="left" vertical="center" textRotation="0" wrapText="true" indent="0" shrinkToFit="false"/>
      <protection locked="true" hidden="false"/>
    </xf>
    <xf numFmtId="164" fontId="20" fillId="8" borderId="2" xfId="0" applyFont="true" applyBorder="true" applyAlignment="true" applyProtection="false">
      <alignment horizontal="center" vertical="center" textRotation="0" wrapText="true" indent="0" shrinkToFit="false"/>
      <protection locked="true" hidden="false"/>
    </xf>
    <xf numFmtId="164" fontId="21" fillId="9"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18" fillId="5" borderId="2" xfId="0" applyFont="true" applyBorder="true" applyAlignment="true" applyProtection="false">
      <alignment horizontal="center" vertical="center" textRotation="0" wrapText="true" indent="0" shrinkToFit="false"/>
      <protection locked="true" hidden="false"/>
    </xf>
    <xf numFmtId="164" fontId="22" fillId="11" borderId="2"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7" fontId="9" fillId="6" borderId="2" xfId="0" applyFont="true" applyBorder="true" applyAlignment="true" applyProtection="false">
      <alignment horizontal="center" vertical="center" textRotation="0" wrapText="true" indent="0" shrinkToFit="false"/>
      <protection locked="true" hidden="false"/>
    </xf>
    <xf numFmtId="164" fontId="19" fillId="7" borderId="2"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5" fontId="11" fillId="2" borderId="2" xfId="0" applyFont="true" applyBorder="true" applyAlignment="true" applyProtection="false">
      <alignment horizontal="center" vertical="center" textRotation="0" wrapText="true" indent="0" shrinkToFit="false"/>
      <protection locked="true" hidden="false"/>
    </xf>
    <xf numFmtId="164" fontId="11" fillId="12" borderId="2" xfId="0" applyFont="true" applyBorder="true" applyAlignment="true" applyProtection="false">
      <alignment horizontal="center" vertical="center" textRotation="0" wrapText="true" indent="0" shrinkToFit="false"/>
      <protection locked="true" hidden="false"/>
    </xf>
    <xf numFmtId="166" fontId="8" fillId="7" borderId="2" xfId="0" applyFont="true" applyBorder="true" applyAlignment="true" applyProtection="false">
      <alignment horizontal="center" vertical="center" textRotation="0" wrapText="true" indent="0" shrinkToFit="false"/>
      <protection locked="true" hidden="false"/>
    </xf>
    <xf numFmtId="167" fontId="8" fillId="7" borderId="2" xfId="0" applyFont="true" applyBorder="true" applyAlignment="true" applyProtection="false">
      <alignment horizontal="center" vertical="center" textRotation="0" wrapText="true" indent="0" shrinkToFit="false"/>
      <protection locked="true" hidden="false"/>
    </xf>
    <xf numFmtId="164" fontId="23" fillId="11" borderId="1" xfId="0" applyFont="true" applyBorder="true" applyAlignment="true" applyProtection="false">
      <alignment horizontal="left" vertical="center" textRotation="0" wrapText="true" indent="0" shrinkToFit="false"/>
      <protection locked="true" hidden="false"/>
    </xf>
    <xf numFmtId="164" fontId="24" fillId="9" borderId="2" xfId="0" applyFont="true" applyBorder="true" applyAlignment="true" applyProtection="false">
      <alignment horizontal="center" vertical="center" textRotation="0" wrapText="true" indent="0" shrinkToFit="false"/>
      <protection locked="true" hidden="false"/>
    </xf>
    <xf numFmtId="165" fontId="24" fillId="9" borderId="2" xfId="0" applyFont="true" applyBorder="true" applyAlignment="true" applyProtection="false">
      <alignment horizontal="center" vertical="center" textRotation="0" wrapText="true" indent="0" shrinkToFit="false"/>
      <protection locked="true" hidden="false"/>
    </xf>
    <xf numFmtId="164" fontId="25" fillId="3" borderId="2" xfId="0" applyFont="true" applyBorder="true" applyAlignment="true" applyProtection="false">
      <alignment horizontal="center" vertical="center" textRotation="0" wrapText="true" indent="0" shrinkToFit="false"/>
      <protection locked="true" hidden="false"/>
    </xf>
    <xf numFmtId="164" fontId="24" fillId="9" borderId="2" xfId="0" applyFont="true" applyBorder="true" applyAlignment="true" applyProtection="false">
      <alignment horizontal="left" vertical="center" textRotation="0" wrapText="true" indent="0" shrinkToFit="false"/>
      <protection locked="true" hidden="false"/>
    </xf>
    <xf numFmtId="164" fontId="19" fillId="9" borderId="2" xfId="0" applyFont="true" applyBorder="true" applyAlignment="true" applyProtection="false">
      <alignment horizontal="left" vertical="center" textRotation="0" wrapText="true" indent="0" shrinkToFit="false"/>
      <protection locked="true" hidden="false"/>
    </xf>
    <xf numFmtId="164" fontId="26" fillId="6" borderId="2" xfId="0" applyFont="true" applyBorder="true" applyAlignment="true" applyProtection="false">
      <alignment horizontal="center" vertical="center" textRotation="0" wrapText="true" indent="0" shrinkToFit="false"/>
      <protection locked="true" hidden="false"/>
    </xf>
    <xf numFmtId="164" fontId="24" fillId="7" borderId="2" xfId="0" applyFont="true" applyBorder="true" applyAlignment="true" applyProtection="false">
      <alignment horizontal="left" vertical="center" textRotation="0" wrapText="true" indent="0" shrinkToFit="false"/>
      <protection locked="true" hidden="false"/>
    </xf>
    <xf numFmtId="164" fontId="27" fillId="8" borderId="1" xfId="0" applyFont="true" applyBorder="true" applyAlignment="true" applyProtection="false">
      <alignment horizontal="left" vertical="center" textRotation="0" wrapText="true" indent="0" shrinkToFit="false"/>
      <protection locked="true" hidden="false"/>
    </xf>
    <xf numFmtId="165" fontId="8" fillId="9" borderId="2" xfId="0" applyFont="true" applyBorder="true" applyAlignment="true" applyProtection="false">
      <alignment horizontal="center" vertical="center" textRotation="0" wrapText="true" indent="0" shrinkToFit="false"/>
      <protection locked="true" hidden="false"/>
    </xf>
    <xf numFmtId="166" fontId="8" fillId="9" borderId="2" xfId="0" applyFont="true" applyBorder="true" applyAlignment="true" applyProtection="false">
      <alignment horizontal="center" vertical="center" textRotation="0" wrapText="true" indent="0" shrinkToFit="false"/>
      <protection locked="true" hidden="false"/>
    </xf>
    <xf numFmtId="165" fontId="8" fillId="5" borderId="2" xfId="0" applyFont="true" applyBorder="true" applyAlignment="true" applyProtection="false">
      <alignment horizontal="center" vertical="center" textRotation="0" wrapText="true" indent="0" shrinkToFit="false"/>
      <protection locked="true" hidden="false"/>
    </xf>
    <xf numFmtId="166" fontId="8" fillId="5" borderId="2" xfId="0" applyFont="true" applyBorder="true" applyAlignment="true" applyProtection="false">
      <alignment horizontal="center" vertical="center" textRotation="0" wrapText="true" indent="0" shrinkToFit="false"/>
      <protection locked="true" hidden="false"/>
    </xf>
    <xf numFmtId="164" fontId="28" fillId="1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21" fillId="9" borderId="2"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19" fillId="8" borderId="2" xfId="0" applyFont="true" applyBorder="true" applyAlignment="true" applyProtection="false">
      <alignment horizontal="left" vertical="center" textRotation="0" wrapText="true" indent="0" shrinkToFit="false"/>
      <protection locked="true" hidden="false"/>
    </xf>
    <xf numFmtId="164" fontId="20" fillId="8" borderId="2"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29" fillId="10" borderId="2"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left" vertical="center" textRotation="0" wrapText="true" indent="0" shrinkToFit="false"/>
      <protection locked="true" hidden="false"/>
    </xf>
    <xf numFmtId="164" fontId="29" fillId="10" borderId="2" xfId="0" applyFont="true" applyBorder="true" applyAlignment="true" applyProtection="false">
      <alignment horizontal="left" vertical="center" textRotation="0" wrapText="true" indent="0" shrinkToFit="false"/>
      <protection locked="true" hidden="false"/>
    </xf>
    <xf numFmtId="164" fontId="30" fillId="9" borderId="2" xfId="0" applyFont="true" applyBorder="true" applyAlignment="true" applyProtection="false">
      <alignment horizontal="center" vertical="center" textRotation="0" wrapText="true" indent="0" shrinkToFit="false"/>
      <protection locked="true" hidden="false"/>
    </xf>
    <xf numFmtId="164" fontId="21" fillId="9" borderId="2" xfId="0" applyFont="true" applyBorder="true" applyAlignment="true" applyProtection="false">
      <alignment horizontal="left" vertical="top" textRotation="0" wrapText="true" indent="0" shrinkToFit="false"/>
      <protection locked="true" hidden="false"/>
    </xf>
    <xf numFmtId="164" fontId="31" fillId="8" borderId="2" xfId="0" applyFont="true" applyBorder="true" applyAlignment="true" applyProtection="false">
      <alignment horizontal="center" vertical="center" textRotation="0" wrapText="true" indent="0" shrinkToFit="false"/>
      <protection locked="true" hidden="false"/>
    </xf>
    <xf numFmtId="164" fontId="20" fillId="8" borderId="2" xfId="0" applyFont="true" applyBorder="true" applyAlignment="true" applyProtection="false">
      <alignment horizontal="left" vertical="top" textRotation="0" wrapText="true" indent="0" shrinkToFit="false"/>
      <protection locked="true" hidden="false"/>
    </xf>
    <xf numFmtId="164" fontId="32" fillId="8" borderId="2" xfId="0" applyFont="true" applyBorder="true" applyAlignment="true" applyProtection="false">
      <alignment horizontal="left" vertical="center" textRotation="0" wrapText="true" indent="0" shrinkToFit="false"/>
      <protection locked="true" hidden="false"/>
    </xf>
    <xf numFmtId="164" fontId="31" fillId="10" borderId="2" xfId="0" applyFont="true" applyBorder="true" applyAlignment="true" applyProtection="false">
      <alignment horizontal="center" vertical="center" textRotation="0" wrapText="true" indent="0" shrinkToFit="false"/>
      <protection locked="true" hidden="false"/>
    </xf>
    <xf numFmtId="164" fontId="29" fillId="1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38522"/>
      <rgbColor rgb="FF800080"/>
      <rgbColor rgb="FF085041"/>
      <rgbColor rgb="FFD3D1C7"/>
      <rgbColor rgb="FF888888"/>
      <rgbColor rgb="FF9999FF"/>
      <rgbColor rgb="FF993366"/>
      <rgbColor rgb="FFFAEEDA"/>
      <rgbColor rgb="FFE1F5EE"/>
      <rgbColor rgb="FF660066"/>
      <rgbColor rgb="FFFF8080"/>
      <rgbColor rgb="FF0066CC"/>
      <rgbColor rgb="FFEEEDFE"/>
      <rgbColor rgb="FF000080"/>
      <rgbColor rgb="FFFF00FF"/>
      <rgbColor rgb="FFFFFF00"/>
      <rgbColor rgb="FF00FFFF"/>
      <rgbColor rgb="FF800080"/>
      <rgbColor rgb="FF800000"/>
      <rgbColor rgb="FF008080"/>
      <rgbColor rgb="FF0000FF"/>
      <rgbColor rgb="FF00CCFF"/>
      <rgbColor rgb="FFE6F1FB"/>
      <rgbColor rgb="FFEAF3DE"/>
      <rgbColor rgb="FFFAECE7"/>
      <rgbColor rgb="FF9FE1CB"/>
      <rgbColor rgb="FFFF99CC"/>
      <rgbColor rgb="FFCC99FF"/>
      <rgbColor rgb="FFF5F5F5"/>
      <rgbColor rgb="FF3366FF"/>
      <rgbColor rgb="FF33CCCC"/>
      <rgbColor rgb="FF99CC00"/>
      <rgbColor rgb="FFFFCC00"/>
      <rgbColor rgb="FFBA7517"/>
      <rgbColor rgb="FFD85A30"/>
      <rgbColor rgb="FF7F77DD"/>
      <rgbColor rgb="FF969696"/>
      <rgbColor rgb="FF0C447C"/>
      <rgbColor rgb="FF1D9E75"/>
      <rgbColor rgb="FF0D1B3E"/>
      <rgbColor rgb="FF27500A"/>
      <rgbColor rgb="FF712B13"/>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3E"/>
    <pageSetUpPr fitToPage="false"/>
  </sheetPr>
  <dimension ref="B1:E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6"/>
    <col collapsed="false" customWidth="true" hidden="false" outlineLevel="0" max="4" min="4" style="0" width="22"/>
    <col collapsed="false" customWidth="true" hidden="false" outlineLevel="0" max="5" min="5" style="0" width="26"/>
    <col collapsed="false" customWidth="true" hidden="false" outlineLevel="0" max="6" min="6" style="0" width="3"/>
  </cols>
  <sheetData>
    <row r="1" customFormat="false" ht="7.5" hidden="false" customHeight="true" outlineLevel="0" collapsed="false"/>
    <row r="2" customFormat="false" ht="49.5" hidden="false" customHeight="true" outlineLevel="0" collapsed="false">
      <c r="B2" s="1" t="s">
        <v>0</v>
      </c>
      <c r="C2" s="1"/>
      <c r="D2" s="1"/>
      <c r="E2" s="1"/>
    </row>
    <row r="3" customFormat="false" ht="21.75" hidden="false" customHeight="true" outlineLevel="0" collapsed="false">
      <c r="B3" s="2" t="s">
        <v>1</v>
      </c>
      <c r="C3" s="2"/>
      <c r="D3" s="2"/>
      <c r="E3" s="2"/>
    </row>
    <row r="4" customFormat="false" ht="12" hidden="false" customHeight="true" outlineLevel="0" collapsed="false"/>
    <row r="5" customFormat="false" ht="27.75" hidden="false" customHeight="true" outlineLevel="0" collapsed="false">
      <c r="B5" s="3" t="s">
        <v>2</v>
      </c>
      <c r="C5" s="3"/>
      <c r="D5" s="3"/>
      <c r="E5" s="3"/>
    </row>
    <row r="6" customFormat="false" ht="27.75" hidden="false" customHeight="true" outlineLevel="0" collapsed="false">
      <c r="B6" s="4" t="s">
        <v>3</v>
      </c>
      <c r="C6" s="5" t="s">
        <v>4</v>
      </c>
      <c r="D6" s="6" t="n">
        <v>100</v>
      </c>
      <c r="E6" s="7" t="s">
        <v>5</v>
      </c>
    </row>
    <row r="7" customFormat="false" ht="27.75" hidden="false" customHeight="true" outlineLevel="0" collapsed="false">
      <c r="B7" s="4" t="s">
        <v>6</v>
      </c>
      <c r="C7" s="5" t="s">
        <v>7</v>
      </c>
      <c r="D7" s="8" t="s">
        <v>8</v>
      </c>
      <c r="E7" s="7" t="s">
        <v>9</v>
      </c>
    </row>
    <row r="8" customFormat="false" ht="27.75" hidden="false" customHeight="true" outlineLevel="0" collapsed="false">
      <c r="B8" s="4" t="s">
        <v>10</v>
      </c>
      <c r="C8" s="5" t="s">
        <v>11</v>
      </c>
      <c r="D8" s="8" t="s">
        <v>12</v>
      </c>
      <c r="E8" s="7" t="s">
        <v>13</v>
      </c>
    </row>
    <row r="9" customFormat="false" ht="27.75" hidden="false" customHeight="true" outlineLevel="0" collapsed="false">
      <c r="B9" s="4" t="s">
        <v>14</v>
      </c>
      <c r="C9" s="5" t="s">
        <v>15</v>
      </c>
      <c r="D9" s="8" t="s">
        <v>16</v>
      </c>
      <c r="E9" s="7" t="s">
        <v>17</v>
      </c>
    </row>
    <row r="10" customFormat="false" ht="13.5" hidden="false" customHeight="true" outlineLevel="0" collapsed="false"/>
    <row r="11" customFormat="false" ht="27.75" hidden="false" customHeight="true" outlineLevel="0" collapsed="false">
      <c r="B11" s="9" t="s">
        <v>18</v>
      </c>
      <c r="C11" s="9"/>
      <c r="D11" s="9"/>
      <c r="E11" s="9"/>
    </row>
    <row r="12" customFormat="false" ht="25.5" hidden="false" customHeight="true" outlineLevel="0" collapsed="false">
      <c r="B12" s="10"/>
      <c r="C12" s="5" t="s">
        <v>19</v>
      </c>
      <c r="D12" s="11" t="str">
        <f aca="false">IFERROR(INDEX('Debt Inventory'!B6:B15,MATCH(MIN('Debt Inventory'!C6:C15),'Debt Inventory'!C6:C15,0)),"Enter debts below")</f>
        <v>Enter debts below</v>
      </c>
      <c r="E12" s="10"/>
    </row>
    <row r="13" customFormat="false" ht="25.5" hidden="false" customHeight="true" outlineLevel="0" collapsed="false">
      <c r="B13" s="10"/>
      <c r="C13" s="5" t="s">
        <v>20</v>
      </c>
      <c r="D13" s="12" t="n">
        <f aca="false">IFERROR(MIN(IF('Debt Inventory'!C6:C15&gt;0,'Debt Inventory'!C6:C15)),"—")</f>
        <v>0</v>
      </c>
      <c r="E13" s="10"/>
    </row>
    <row r="14" customFormat="false" ht="25.5" hidden="false" customHeight="true" outlineLevel="0" collapsed="false">
      <c r="B14" s="10"/>
      <c r="C14" s="5" t="s">
        <v>21</v>
      </c>
      <c r="D14" s="13" t="str">
        <f aca="false">IFERROR(INDEX('Debt Inventory'!D6:D15,MATCH(MIN('Debt Inventory'!C6:C15),'Debt Inventory'!C6:C15,0)),"—")</f>
        <v>—</v>
      </c>
      <c r="E14" s="10"/>
    </row>
    <row r="15" customFormat="false" ht="25.5" hidden="false" customHeight="true" outlineLevel="0" collapsed="false">
      <c r="B15" s="10"/>
      <c r="C15" s="5" t="s">
        <v>22</v>
      </c>
      <c r="D15" s="12" t="str">
        <f aca="false">IFERROR(D14+D6,"—")</f>
        <v>—</v>
      </c>
      <c r="E15" s="10"/>
    </row>
    <row r="16" customFormat="false" ht="25.5" hidden="false" customHeight="true" outlineLevel="0" collapsed="false">
      <c r="B16" s="10"/>
      <c r="C16" s="5" t="s">
        <v>23</v>
      </c>
      <c r="D16" s="14" t="str">
        <f aca="false">IFERROR(CEILING(D13/D15,1),"—")</f>
        <v>—</v>
      </c>
      <c r="E16" s="10"/>
    </row>
    <row r="17" customFormat="false" ht="25.5" hidden="false" customHeight="true" outlineLevel="0" collapsed="false">
      <c r="B17" s="10"/>
      <c r="C17" s="5" t="s">
        <v>24</v>
      </c>
      <c r="D17" s="15" t="str">
        <f aca="false">D7</f>
        <v>Credit Card A</v>
      </c>
      <c r="E17" s="10"/>
    </row>
    <row r="18" customFormat="false" ht="25.5" hidden="false" customHeight="true" outlineLevel="0" collapsed="false">
      <c r="B18" s="10"/>
      <c r="C18" s="5" t="s">
        <v>25</v>
      </c>
      <c r="D18" s="15" t="str">
        <f aca="false">IFERROR(IF(D12=D7,"YES — same debt","REVIEW: Math vs. feeling differ — see note"),"—")</f>
        <v>REVIEW: Math vs. feeling differ — see note</v>
      </c>
      <c r="E18" s="10"/>
    </row>
    <row r="19" customFormat="false" ht="13.5" hidden="false" customHeight="true" outlineLevel="0" collapsed="false"/>
    <row r="20" customFormat="false" ht="27.75" hidden="false" customHeight="true" outlineLevel="0" collapsed="false">
      <c r="B20" s="16" t="s">
        <v>26</v>
      </c>
      <c r="C20" s="16"/>
      <c r="D20" s="16"/>
      <c r="E20" s="16"/>
    </row>
    <row r="21" customFormat="false" ht="43.5" hidden="false" customHeight="true" outlineLevel="0" collapsed="false">
      <c r="B21" s="17" t="s">
        <v>27</v>
      </c>
      <c r="C21" s="17"/>
      <c r="D21" s="17"/>
      <c r="E21" s="17"/>
    </row>
    <row r="22" customFormat="false" ht="7.5" hidden="false" customHeight="true" outlineLevel="0" collapsed="false"/>
    <row r="23" customFormat="false" ht="27.75" hidden="false" customHeight="true" outlineLevel="0" collapsed="false">
      <c r="B23" s="18" t="s">
        <v>28</v>
      </c>
      <c r="C23" s="19" t="s">
        <v>29</v>
      </c>
      <c r="D23" s="19"/>
      <c r="E23" s="19"/>
    </row>
    <row r="24" customFormat="false" ht="21.75" hidden="false" customHeight="true" outlineLevel="0" collapsed="false">
      <c r="B24" s="20" t="s">
        <v>30</v>
      </c>
      <c r="C24" s="17" t="s">
        <v>31</v>
      </c>
      <c r="D24" s="17"/>
      <c r="E24" s="17"/>
    </row>
    <row r="25" customFormat="false" ht="21.75" hidden="false" customHeight="true" outlineLevel="0" collapsed="false">
      <c r="B25" s="20" t="s">
        <v>30</v>
      </c>
      <c r="C25" s="17" t="s">
        <v>32</v>
      </c>
      <c r="D25" s="17"/>
      <c r="E25" s="17"/>
    </row>
    <row r="26" customFormat="false" ht="21.75" hidden="false" customHeight="true" outlineLevel="0" collapsed="false">
      <c r="B26" s="20" t="s">
        <v>30</v>
      </c>
      <c r="C26" s="17" t="s">
        <v>33</v>
      </c>
      <c r="D26" s="17"/>
      <c r="E26" s="17"/>
    </row>
    <row r="27" customFormat="false" ht="21.75" hidden="false" customHeight="true" outlineLevel="0" collapsed="false">
      <c r="B27" s="20" t="s">
        <v>30</v>
      </c>
      <c r="C27" s="17" t="s">
        <v>34</v>
      </c>
      <c r="D27" s="17"/>
      <c r="E27" s="17"/>
    </row>
    <row r="28" customFormat="false" ht="21.75" hidden="false" customHeight="true" outlineLevel="0" collapsed="false">
      <c r="B28" s="20" t="s">
        <v>30</v>
      </c>
      <c r="C28" s="17" t="s">
        <v>35</v>
      </c>
      <c r="D28" s="17"/>
      <c r="E28" s="17"/>
    </row>
    <row r="29" customFormat="false" ht="6" hidden="false" customHeight="true" outlineLevel="0" collapsed="false"/>
    <row r="30" customFormat="false" ht="27.75" hidden="false" customHeight="true" outlineLevel="0" collapsed="false">
      <c r="B30" s="9" t="s">
        <v>36</v>
      </c>
      <c r="C30" s="21" t="s">
        <v>37</v>
      </c>
      <c r="D30" s="21"/>
      <c r="E30" s="21"/>
    </row>
    <row r="31" customFormat="false" ht="21.75" hidden="false" customHeight="true" outlineLevel="0" collapsed="false">
      <c r="B31" s="22" t="s">
        <v>30</v>
      </c>
      <c r="C31" s="23" t="s">
        <v>38</v>
      </c>
      <c r="D31" s="23"/>
      <c r="E31" s="23"/>
    </row>
    <row r="32" customFormat="false" ht="21.75" hidden="false" customHeight="true" outlineLevel="0" collapsed="false">
      <c r="B32" s="22" t="s">
        <v>30</v>
      </c>
      <c r="C32" s="23" t="s">
        <v>39</v>
      </c>
      <c r="D32" s="23"/>
      <c r="E32" s="23"/>
    </row>
    <row r="33" customFormat="false" ht="21.75" hidden="false" customHeight="true" outlineLevel="0" collapsed="false">
      <c r="B33" s="22" t="s">
        <v>30</v>
      </c>
      <c r="C33" s="23" t="s">
        <v>40</v>
      </c>
      <c r="D33" s="23"/>
      <c r="E33" s="23"/>
    </row>
    <row r="34" customFormat="false" ht="21.75" hidden="false" customHeight="true" outlineLevel="0" collapsed="false">
      <c r="B34" s="22" t="s">
        <v>30</v>
      </c>
      <c r="C34" s="23" t="s">
        <v>41</v>
      </c>
      <c r="D34" s="23"/>
      <c r="E34" s="23"/>
    </row>
    <row r="35" customFormat="false" ht="21.75" hidden="false" customHeight="true" outlineLevel="0" collapsed="false">
      <c r="B35" s="22" t="s">
        <v>30</v>
      </c>
      <c r="C35" s="23" t="s">
        <v>42</v>
      </c>
      <c r="D35" s="23"/>
      <c r="E35" s="23"/>
    </row>
    <row r="36" customFormat="false" ht="6" hidden="false" customHeight="true" outlineLevel="0" collapsed="false"/>
    <row r="37" customFormat="false" ht="27.75" hidden="false" customHeight="true" outlineLevel="0" collapsed="false">
      <c r="B37" s="18" t="s">
        <v>43</v>
      </c>
      <c r="C37" s="19" t="s">
        <v>44</v>
      </c>
      <c r="D37" s="19"/>
      <c r="E37" s="19"/>
    </row>
    <row r="38" customFormat="false" ht="21.75" hidden="false" customHeight="true" outlineLevel="0" collapsed="false">
      <c r="B38" s="20" t="s">
        <v>30</v>
      </c>
      <c r="C38" s="17" t="s">
        <v>45</v>
      </c>
      <c r="D38" s="17"/>
      <c r="E38" s="17"/>
    </row>
    <row r="39" customFormat="false" ht="21.75" hidden="false" customHeight="true" outlineLevel="0" collapsed="false">
      <c r="B39" s="20" t="s">
        <v>30</v>
      </c>
      <c r="C39" s="17" t="s">
        <v>46</v>
      </c>
      <c r="D39" s="17"/>
      <c r="E39" s="17"/>
    </row>
    <row r="40" customFormat="false" ht="21.75" hidden="false" customHeight="true" outlineLevel="0" collapsed="false">
      <c r="B40" s="20" t="s">
        <v>30</v>
      </c>
      <c r="C40" s="17" t="s">
        <v>47</v>
      </c>
      <c r="D40" s="17"/>
      <c r="E40" s="17"/>
    </row>
    <row r="41" customFormat="false" ht="21.75" hidden="false" customHeight="true" outlineLevel="0" collapsed="false">
      <c r="B41" s="20" t="s">
        <v>30</v>
      </c>
      <c r="C41" s="17" t="s">
        <v>48</v>
      </c>
      <c r="D41" s="17"/>
      <c r="E41" s="17"/>
    </row>
    <row r="42" customFormat="false" ht="21.75" hidden="false" customHeight="true" outlineLevel="0" collapsed="false">
      <c r="B42" s="20" t="s">
        <v>30</v>
      </c>
      <c r="C42" s="17" t="s">
        <v>49</v>
      </c>
      <c r="D42" s="17"/>
      <c r="E42" s="17"/>
    </row>
    <row r="43" customFormat="false" ht="6" hidden="false" customHeight="true" outlineLevel="0" collapsed="false"/>
    <row r="44" customFormat="false" ht="27.75" hidden="false" customHeight="true" outlineLevel="0" collapsed="false">
      <c r="B44" s="9" t="s">
        <v>50</v>
      </c>
      <c r="C44" s="21" t="s">
        <v>51</v>
      </c>
      <c r="D44" s="21"/>
      <c r="E44" s="21"/>
    </row>
    <row r="45" customFormat="false" ht="21.75" hidden="false" customHeight="true" outlineLevel="0" collapsed="false">
      <c r="B45" s="22" t="s">
        <v>30</v>
      </c>
      <c r="C45" s="23" t="s">
        <v>52</v>
      </c>
      <c r="D45" s="23"/>
      <c r="E45" s="23"/>
    </row>
    <row r="46" customFormat="false" ht="21.75" hidden="false" customHeight="true" outlineLevel="0" collapsed="false">
      <c r="B46" s="22" t="s">
        <v>30</v>
      </c>
      <c r="C46" s="23" t="s">
        <v>53</v>
      </c>
      <c r="D46" s="23"/>
      <c r="E46" s="23"/>
    </row>
    <row r="47" customFormat="false" ht="21.75" hidden="false" customHeight="true" outlineLevel="0" collapsed="false">
      <c r="B47" s="22" t="s">
        <v>30</v>
      </c>
      <c r="C47" s="23" t="s">
        <v>54</v>
      </c>
      <c r="D47" s="23"/>
      <c r="E47" s="23"/>
    </row>
    <row r="48" customFormat="false" ht="21.75" hidden="false" customHeight="true" outlineLevel="0" collapsed="false">
      <c r="B48" s="22" t="s">
        <v>30</v>
      </c>
      <c r="C48" s="23" t="s">
        <v>55</v>
      </c>
      <c r="D48" s="23"/>
      <c r="E48" s="23"/>
    </row>
    <row r="49" customFormat="false" ht="21.75" hidden="false" customHeight="true" outlineLevel="0" collapsed="false">
      <c r="B49" s="22" t="s">
        <v>30</v>
      </c>
      <c r="C49" s="23" t="s">
        <v>56</v>
      </c>
      <c r="D49" s="23"/>
      <c r="E49" s="23"/>
    </row>
    <row r="50" customFormat="false" ht="6" hidden="false" customHeight="true" outlineLevel="0" collapsed="false"/>
    <row r="51" customFormat="false" ht="9.75" hidden="false" customHeight="true" outlineLevel="0" collapsed="false"/>
    <row r="52" customFormat="false" ht="27.75" hidden="false" customHeight="true" outlineLevel="0" collapsed="false">
      <c r="B52" s="9" t="s">
        <v>57</v>
      </c>
      <c r="C52" s="9"/>
      <c r="D52" s="9"/>
      <c r="E52" s="9"/>
    </row>
    <row r="53" customFormat="false" ht="21.75" hidden="false" customHeight="true" outlineLevel="0" collapsed="false">
      <c r="B53" s="24" t="s">
        <v>58</v>
      </c>
      <c r="C53" s="25" t="s">
        <v>59</v>
      </c>
      <c r="D53" s="25"/>
      <c r="E53" s="25"/>
    </row>
    <row r="54" customFormat="false" ht="21.75" hidden="false" customHeight="true" outlineLevel="0" collapsed="false">
      <c r="B54" s="26" t="s">
        <v>60</v>
      </c>
      <c r="C54" s="25" t="s">
        <v>61</v>
      </c>
      <c r="D54" s="25"/>
      <c r="E54" s="25"/>
    </row>
    <row r="55" customFormat="false" ht="21.75" hidden="false" customHeight="true" outlineLevel="0" collapsed="false">
      <c r="B55" s="27" t="s">
        <v>62</v>
      </c>
      <c r="C55" s="25" t="s">
        <v>63</v>
      </c>
      <c r="D55" s="25"/>
      <c r="E55" s="25"/>
    </row>
    <row r="56" customFormat="false" ht="21.75" hidden="false" customHeight="true" outlineLevel="0" collapsed="false">
      <c r="B56" s="28" t="s">
        <v>64</v>
      </c>
      <c r="C56" s="25" t="s">
        <v>65</v>
      </c>
      <c r="D56" s="25"/>
      <c r="E56" s="25"/>
    </row>
    <row r="57" customFormat="false" ht="21.75" hidden="false" customHeight="true" outlineLevel="0" collapsed="false">
      <c r="B57" s="29" t="s">
        <v>66</v>
      </c>
      <c r="C57" s="25" t="s">
        <v>67</v>
      </c>
      <c r="D57" s="25"/>
      <c r="E57" s="25"/>
    </row>
    <row r="58" customFormat="false" ht="21.75" hidden="false" customHeight="true" outlineLevel="0" collapsed="false">
      <c r="B58" s="30" t="s">
        <v>68</v>
      </c>
      <c r="C58" s="25" t="s">
        <v>69</v>
      </c>
      <c r="D58" s="25"/>
      <c r="E58" s="25"/>
    </row>
    <row r="59" customFormat="false" ht="7.5" hidden="false" customHeight="true" outlineLevel="0" collapsed="false"/>
    <row r="60" customFormat="false" ht="25.5" hidden="false" customHeight="true" outlineLevel="0" collapsed="false">
      <c r="B60" s="31" t="s">
        <v>70</v>
      </c>
      <c r="C60" s="31"/>
      <c r="D60" s="31"/>
      <c r="E60" s="31"/>
    </row>
  </sheetData>
  <mergeCells count="38">
    <mergeCell ref="B2:E2"/>
    <mergeCell ref="B3:E3"/>
    <mergeCell ref="B5:E5"/>
    <mergeCell ref="B11:E11"/>
    <mergeCell ref="B20:E20"/>
    <mergeCell ref="B21:E21"/>
    <mergeCell ref="C23:E23"/>
    <mergeCell ref="C24:E24"/>
    <mergeCell ref="C25:E25"/>
    <mergeCell ref="C26:E26"/>
    <mergeCell ref="C27:E27"/>
    <mergeCell ref="C28:E28"/>
    <mergeCell ref="C30:E30"/>
    <mergeCell ref="C31:E31"/>
    <mergeCell ref="C32:E32"/>
    <mergeCell ref="C33:E33"/>
    <mergeCell ref="C34:E34"/>
    <mergeCell ref="C35:E35"/>
    <mergeCell ref="C37:E37"/>
    <mergeCell ref="C38:E38"/>
    <mergeCell ref="C39:E39"/>
    <mergeCell ref="C40:E40"/>
    <mergeCell ref="C41:E41"/>
    <mergeCell ref="C42:E42"/>
    <mergeCell ref="C44:E44"/>
    <mergeCell ref="C45:E45"/>
    <mergeCell ref="C46:E46"/>
    <mergeCell ref="C47:E47"/>
    <mergeCell ref="C48:E48"/>
    <mergeCell ref="C49:E49"/>
    <mergeCell ref="B52:E52"/>
    <mergeCell ref="C53:E53"/>
    <mergeCell ref="C54:E54"/>
    <mergeCell ref="C55:E55"/>
    <mergeCell ref="C56:E56"/>
    <mergeCell ref="C57:E57"/>
    <mergeCell ref="C58:E58"/>
    <mergeCell ref="B60:E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5A30"/>
    <pageSetUpPr fitToPage="false"/>
  </sheetPr>
  <dimension ref="B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
    <col collapsed="false" customWidth="true" hidden="false" outlineLevel="0" max="3" min="3" style="0" width="24"/>
    <col collapsed="false" customWidth="true" hidden="false" outlineLevel="0" max="5" min="4" style="0" width="16"/>
    <col collapsed="false" customWidth="true" hidden="false" outlineLevel="0" max="6" min="6" style="0" width="12"/>
    <col collapsed="false" customWidth="true" hidden="false" outlineLevel="0" max="8" min="7" style="0" width="18"/>
    <col collapsed="false" customWidth="true" hidden="false" outlineLevel="0" max="9" min="9" style="0" width="3"/>
  </cols>
  <sheetData>
    <row r="1" customFormat="false" ht="7.5" hidden="false" customHeight="true" outlineLevel="0" collapsed="false"/>
    <row r="2" customFormat="false" ht="49.5" hidden="false" customHeight="true" outlineLevel="0" collapsed="false">
      <c r="B2" s="1" t="s">
        <v>71</v>
      </c>
      <c r="C2" s="1"/>
      <c r="D2" s="1"/>
      <c r="E2" s="1"/>
      <c r="F2" s="1"/>
      <c r="G2" s="1"/>
      <c r="H2" s="1"/>
    </row>
    <row r="3" customFormat="false" ht="21.75" hidden="false" customHeight="true" outlineLevel="0" collapsed="false">
      <c r="B3" s="2" t="s">
        <v>72</v>
      </c>
      <c r="C3" s="2"/>
      <c r="D3" s="2"/>
      <c r="E3" s="2"/>
      <c r="F3" s="2"/>
      <c r="G3" s="2"/>
      <c r="H3" s="2"/>
    </row>
    <row r="4" customFormat="false" ht="12" hidden="false" customHeight="true" outlineLevel="0" collapsed="false"/>
    <row r="5" customFormat="false" ht="27.75" hidden="false" customHeight="true" outlineLevel="0" collapsed="false">
      <c r="B5" s="9" t="s">
        <v>73</v>
      </c>
      <c r="C5" s="9" t="s">
        <v>74</v>
      </c>
      <c r="D5" s="9" t="s">
        <v>75</v>
      </c>
      <c r="E5" s="9" t="s">
        <v>76</v>
      </c>
      <c r="F5" s="9" t="s">
        <v>77</v>
      </c>
      <c r="G5" s="9" t="s">
        <v>78</v>
      </c>
      <c r="H5" s="9" t="s">
        <v>79</v>
      </c>
      <c r="I5" s="9" t="s">
        <v>80</v>
      </c>
    </row>
    <row r="6" customFormat="false" ht="25.5" hidden="false" customHeight="true" outlineLevel="0" collapsed="false">
      <c r="B6" s="28" t="n">
        <v>1</v>
      </c>
      <c r="C6" s="32" t="s">
        <v>8</v>
      </c>
      <c r="D6" s="6" t="n">
        <v>1200</v>
      </c>
      <c r="E6" s="6" t="n">
        <v>35</v>
      </c>
      <c r="F6" s="33" t="n">
        <v>24.99</v>
      </c>
      <c r="G6" s="8" t="s">
        <v>81</v>
      </c>
      <c r="H6" s="11" t="n">
        <f aca="false">IFERROR(IF(D6="","",RANK(D6,D6:D15,1)),"—")</f>
        <v>2</v>
      </c>
      <c r="I6" s="34"/>
    </row>
    <row r="7" customFormat="false" ht="25.5" hidden="false" customHeight="true" outlineLevel="0" collapsed="false">
      <c r="B7" s="28" t="n">
        <v>2</v>
      </c>
      <c r="C7" s="32" t="s">
        <v>82</v>
      </c>
      <c r="D7" s="6" t="n">
        <v>340</v>
      </c>
      <c r="E7" s="6" t="n">
        <v>25</v>
      </c>
      <c r="F7" s="33" t="n">
        <v>0</v>
      </c>
      <c r="G7" s="8" t="s">
        <v>83</v>
      </c>
      <c r="H7" s="11" t="n">
        <f aca="false">IFERROR(IF(D7="","",RANK(D7,D6:D15,1)),"—")</f>
        <v>1</v>
      </c>
      <c r="I7" s="34"/>
    </row>
    <row r="8" customFormat="false" ht="25.5" hidden="false" customHeight="true" outlineLevel="0" collapsed="false">
      <c r="B8" s="28" t="n">
        <v>3</v>
      </c>
      <c r="C8" s="32" t="s">
        <v>84</v>
      </c>
      <c r="D8" s="6" t="n">
        <v>3800</v>
      </c>
      <c r="E8" s="6" t="n">
        <v>95</v>
      </c>
      <c r="F8" s="33" t="n">
        <v>12.5</v>
      </c>
      <c r="G8" s="8" t="s">
        <v>84</v>
      </c>
      <c r="H8" s="11" t="n">
        <f aca="false">IFERROR(IF(D8="","",RANK(D8,D6:D15,1)),"—")</f>
        <v>3</v>
      </c>
      <c r="I8" s="34"/>
    </row>
    <row r="9" customFormat="false" ht="25.5" hidden="false" customHeight="true" outlineLevel="0" collapsed="false">
      <c r="B9" s="28" t="n">
        <v>4</v>
      </c>
      <c r="C9" s="32" t="s">
        <v>85</v>
      </c>
      <c r="D9" s="6" t="n">
        <v>5500</v>
      </c>
      <c r="E9" s="6" t="n">
        <v>110</v>
      </c>
      <c r="F9" s="33" t="n">
        <v>21.99</v>
      </c>
      <c r="G9" s="8" t="s">
        <v>81</v>
      </c>
      <c r="H9" s="11" t="n">
        <f aca="false">IFERROR(IF(D9="","",RANK(D9,D6:D15,1)),"—")</f>
        <v>4</v>
      </c>
      <c r="I9" s="34"/>
    </row>
    <row r="10" customFormat="false" ht="25.5" hidden="false" customHeight="true" outlineLevel="0" collapsed="false">
      <c r="B10" s="28" t="n">
        <v>5</v>
      </c>
      <c r="C10" s="32" t="s">
        <v>86</v>
      </c>
      <c r="D10" s="6" t="n">
        <v>12000</v>
      </c>
      <c r="E10" s="6" t="n">
        <v>280</v>
      </c>
      <c r="F10" s="33" t="n">
        <v>6.9</v>
      </c>
      <c r="G10" s="8" t="s">
        <v>86</v>
      </c>
      <c r="H10" s="11" t="n">
        <f aca="false">IFERROR(IF(D10="","",RANK(D10,D6:D15,1)),"—")</f>
        <v>5</v>
      </c>
      <c r="I10" s="34"/>
    </row>
    <row r="11" customFormat="false" ht="25.5" hidden="false" customHeight="true" outlineLevel="0" collapsed="false">
      <c r="B11" s="28" t="n">
        <v>6</v>
      </c>
      <c r="C11" s="32"/>
      <c r="D11" s="6"/>
      <c r="E11" s="6"/>
      <c r="F11" s="33"/>
      <c r="G11" s="8"/>
      <c r="H11" s="11" t="str">
        <f aca="false">IFERROR(IF(D11="","",RANK(D11,D6:D15,1)),"—")</f>
        <v/>
      </c>
      <c r="I11" s="34"/>
    </row>
    <row r="12" customFormat="false" ht="25.5" hidden="false" customHeight="true" outlineLevel="0" collapsed="false">
      <c r="B12" s="28" t="n">
        <v>7</v>
      </c>
      <c r="C12" s="32"/>
      <c r="D12" s="6"/>
      <c r="E12" s="6"/>
      <c r="F12" s="33"/>
      <c r="G12" s="8"/>
      <c r="H12" s="11" t="str">
        <f aca="false">IFERROR(IF(D12="","",RANK(D12,D6:D15,1)),"—")</f>
        <v/>
      </c>
      <c r="I12" s="34"/>
    </row>
    <row r="13" customFormat="false" ht="25.5" hidden="false" customHeight="true" outlineLevel="0" collapsed="false">
      <c r="B13" s="28" t="n">
        <v>8</v>
      </c>
      <c r="C13" s="32"/>
      <c r="D13" s="6"/>
      <c r="E13" s="6"/>
      <c r="F13" s="33"/>
      <c r="G13" s="8"/>
      <c r="H13" s="11" t="str">
        <f aca="false">IFERROR(IF(D13="","",RANK(D13,D6:D15,1)),"—")</f>
        <v/>
      </c>
      <c r="I13" s="34"/>
    </row>
    <row r="14" customFormat="false" ht="25.5" hidden="false" customHeight="true" outlineLevel="0" collapsed="false">
      <c r="B14" s="28" t="n">
        <v>9</v>
      </c>
      <c r="C14" s="32"/>
      <c r="D14" s="6"/>
      <c r="E14" s="6"/>
      <c r="F14" s="33"/>
      <c r="G14" s="8"/>
      <c r="H14" s="11" t="str">
        <f aca="false">IFERROR(IF(D14="","",RANK(D14,D6:D15,1)),"—")</f>
        <v/>
      </c>
      <c r="I14" s="34"/>
    </row>
    <row r="15" customFormat="false" ht="25.5" hidden="false" customHeight="true" outlineLevel="0" collapsed="false">
      <c r="B15" s="28" t="n">
        <v>10</v>
      </c>
      <c r="C15" s="32"/>
      <c r="D15" s="6"/>
      <c r="E15" s="6"/>
      <c r="F15" s="33"/>
      <c r="G15" s="8"/>
      <c r="H15" s="11" t="str">
        <f aca="false">IFERROR(IF(D15="","",RANK(D15,D6:D15,1)),"—")</f>
        <v/>
      </c>
      <c r="I15" s="34"/>
    </row>
    <row r="16" customFormat="false" ht="27.75" hidden="false" customHeight="true" outlineLevel="0" collapsed="false">
      <c r="B16" s="35"/>
      <c r="C16" s="9" t="s">
        <v>87</v>
      </c>
      <c r="D16" s="36" t="n">
        <f aca="false">SUM(D6:D15)</f>
        <v>22840</v>
      </c>
      <c r="E16" s="36" t="n">
        <f aca="false">SUM(E6:E15)</f>
        <v>545</v>
      </c>
      <c r="F16" s="35"/>
      <c r="G16" s="35"/>
      <c r="H16" s="35"/>
      <c r="I16" s="35"/>
    </row>
    <row r="17" customFormat="false" ht="9.75" hidden="false" customHeight="true" outlineLevel="0" collapsed="false"/>
    <row r="18" customFormat="false" ht="27.75" hidden="false" customHeight="true" outlineLevel="0" collapsed="false">
      <c r="B18" s="37" t="s">
        <v>88</v>
      </c>
      <c r="C18" s="37"/>
      <c r="D18" s="37"/>
      <c r="E18" s="37"/>
      <c r="F18" s="37"/>
      <c r="G18" s="37"/>
      <c r="H18" s="37"/>
      <c r="I18" s="37"/>
    </row>
    <row r="19" customFormat="false" ht="25.5" hidden="false" customHeight="true" outlineLevel="0" collapsed="false">
      <c r="B19" s="10"/>
      <c r="C19" s="5" t="s">
        <v>89</v>
      </c>
      <c r="D19" s="12" t="n">
        <f aca="false">D16</f>
        <v>22840</v>
      </c>
      <c r="E19" s="10"/>
      <c r="F19" s="10"/>
      <c r="G19" s="10"/>
      <c r="H19" s="10"/>
      <c r="I19" s="10"/>
    </row>
    <row r="20" customFormat="false" ht="25.5" hidden="false" customHeight="true" outlineLevel="0" collapsed="false">
      <c r="B20" s="10"/>
      <c r="C20" s="5" t="s">
        <v>90</v>
      </c>
      <c r="D20" s="13" t="n">
        <f aca="false">E16</f>
        <v>545</v>
      </c>
      <c r="E20" s="10"/>
      <c r="F20" s="10"/>
      <c r="G20" s="10"/>
      <c r="H20" s="10"/>
      <c r="I20" s="10"/>
    </row>
    <row r="21" customFormat="false" ht="25.5" hidden="false" customHeight="true" outlineLevel="0" collapsed="false">
      <c r="B21" s="10"/>
      <c r="C21" s="5" t="s">
        <v>91</v>
      </c>
      <c r="D21" s="13" t="n">
        <f aca="false">Setup!D6</f>
        <v>100</v>
      </c>
      <c r="E21" s="10"/>
      <c r="F21" s="10"/>
      <c r="G21" s="10"/>
      <c r="H21" s="10"/>
      <c r="I21" s="10"/>
    </row>
    <row r="22" customFormat="false" ht="25.5" hidden="false" customHeight="true" outlineLevel="0" collapsed="false">
      <c r="B22" s="10"/>
      <c r="C22" s="5" t="s">
        <v>92</v>
      </c>
      <c r="D22" s="12" t="n">
        <f aca="false">D20+D21</f>
        <v>645</v>
      </c>
      <c r="E22" s="10"/>
      <c r="F22" s="10"/>
      <c r="G22" s="10"/>
      <c r="H22" s="10"/>
      <c r="I22" s="10"/>
    </row>
    <row r="23" customFormat="false" ht="25.5" hidden="false" customHeight="true" outlineLevel="0" collapsed="false">
      <c r="B23" s="10"/>
      <c r="C23" s="5" t="s">
        <v>93</v>
      </c>
      <c r="D23" s="38" t="n">
        <f aca="false">COUNTA(C6:C15)</f>
        <v>5</v>
      </c>
      <c r="E23" s="10"/>
      <c r="F23" s="10"/>
      <c r="G23" s="10"/>
      <c r="H23" s="10"/>
      <c r="I23" s="10"/>
    </row>
    <row r="24" customFormat="false" ht="25.5" hidden="false" customHeight="true" outlineLevel="0" collapsed="false">
      <c r="B24" s="10"/>
      <c r="C24" s="5" t="s">
        <v>94</v>
      </c>
      <c r="D24" s="39" t="n">
        <f aca="false">IFERROR(AVERAGEIF(D6:D15,"&gt;0",F6:F15),0)</f>
        <v>13.276</v>
      </c>
      <c r="E24" s="10"/>
      <c r="F24" s="10"/>
      <c r="G24" s="10"/>
      <c r="H24" s="10"/>
      <c r="I24" s="10"/>
    </row>
    <row r="25" customFormat="false" ht="7.5" hidden="false" customHeight="true" outlineLevel="0" collapsed="false"/>
    <row r="26" customFormat="false" ht="21.75" hidden="false" customHeight="true" outlineLevel="0" collapsed="false">
      <c r="C26" s="40" t="s">
        <v>95</v>
      </c>
      <c r="D26" s="40"/>
      <c r="E26" s="40"/>
      <c r="F26" s="40"/>
      <c r="G26" s="40"/>
      <c r="H26" s="40"/>
      <c r="I26" s="40"/>
    </row>
  </sheetData>
  <mergeCells count="4">
    <mergeCell ref="B2:H2"/>
    <mergeCell ref="B3:H3"/>
    <mergeCell ref="B18:I18"/>
    <mergeCell ref="C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9E75"/>
    <pageSetUpPr fitToPage="false"/>
  </sheetPr>
  <dimension ref="B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28"/>
    <col collapsed="false" customWidth="true" hidden="false" outlineLevel="0" max="4" min="4" style="0" width="44"/>
    <col collapsed="false" customWidth="true" hidden="false" outlineLevel="0" max="5" min="5" style="0" width="12"/>
    <col collapsed="false" customWidth="true" hidden="false" outlineLevel="0" max="6" min="6" style="0" width="3"/>
  </cols>
  <sheetData>
    <row r="1" customFormat="false" ht="7.5" hidden="false" customHeight="true" outlineLevel="0" collapsed="false"/>
    <row r="2" customFormat="false" ht="49.5" hidden="false" customHeight="true" outlineLevel="0" collapsed="false">
      <c r="B2" s="1" t="s">
        <v>96</v>
      </c>
      <c r="C2" s="1"/>
      <c r="D2" s="1"/>
      <c r="E2" s="1"/>
    </row>
    <row r="3" customFormat="false" ht="21.75" hidden="false" customHeight="true" outlineLevel="0" collapsed="false">
      <c r="B3" s="2" t="s">
        <v>97</v>
      </c>
      <c r="C3" s="2"/>
      <c r="D3" s="2"/>
      <c r="E3" s="2"/>
    </row>
    <row r="4" customFormat="false" ht="12" hidden="false" customHeight="true" outlineLevel="0" collapsed="false"/>
    <row r="5" customFormat="false" ht="27.75" hidden="false" customHeight="true" outlineLevel="0" collapsed="false">
      <c r="B5" s="18" t="s">
        <v>98</v>
      </c>
      <c r="C5" s="18"/>
      <c r="D5" s="18"/>
      <c r="E5" s="18"/>
    </row>
    <row r="6" customFormat="false" ht="25.5" hidden="false" customHeight="true" outlineLevel="0" collapsed="false">
      <c r="B6" s="10"/>
      <c r="C6" s="5" t="s">
        <v>99</v>
      </c>
      <c r="D6" s="41" t="str">
        <f aca="false">Setup!D12</f>
        <v>Enter debts below</v>
      </c>
      <c r="E6" s="10"/>
    </row>
    <row r="7" customFormat="false" ht="25.5" hidden="false" customHeight="true" outlineLevel="0" collapsed="false">
      <c r="B7" s="10"/>
      <c r="C7" s="5" t="s">
        <v>100</v>
      </c>
      <c r="D7" s="42" t="n">
        <f aca="false">Setup!D13</f>
        <v>0</v>
      </c>
      <c r="E7" s="10"/>
    </row>
    <row r="8" customFormat="false" ht="25.5" hidden="false" customHeight="true" outlineLevel="0" collapsed="false">
      <c r="B8" s="10"/>
      <c r="C8" s="5" t="s">
        <v>101</v>
      </c>
      <c r="D8" s="13" t="str">
        <f aca="false">Setup!D15</f>
        <v>—</v>
      </c>
      <c r="E8" s="10"/>
    </row>
    <row r="9" customFormat="false" ht="25.5" hidden="false" customHeight="true" outlineLevel="0" collapsed="false">
      <c r="B9" s="10"/>
      <c r="C9" s="5" t="s">
        <v>102</v>
      </c>
      <c r="D9" s="38" t="str">
        <f aca="false">Setup!D16</f>
        <v>—</v>
      </c>
      <c r="E9" s="10"/>
    </row>
    <row r="10" customFormat="false" ht="13.5" hidden="false" customHeight="true" outlineLevel="0" collapsed="false"/>
    <row r="11" customFormat="false" ht="27.75" hidden="false" customHeight="true" outlineLevel="0" collapsed="false">
      <c r="B11" s="9" t="s">
        <v>103</v>
      </c>
      <c r="C11" s="9" t="s">
        <v>104</v>
      </c>
      <c r="D11" s="9" t="s">
        <v>105</v>
      </c>
      <c r="E11" s="9" t="s">
        <v>106</v>
      </c>
    </row>
    <row r="12" customFormat="false" ht="60" hidden="false" customHeight="true" outlineLevel="0" collapsed="false">
      <c r="B12" s="43" t="s">
        <v>107</v>
      </c>
      <c r="C12" s="44" t="s">
        <v>108</v>
      </c>
      <c r="D12" s="45" t="s">
        <v>109</v>
      </c>
      <c r="E12" s="46"/>
    </row>
    <row r="13" customFormat="false" ht="60" hidden="false" customHeight="true" outlineLevel="0" collapsed="false">
      <c r="B13" s="43" t="s">
        <v>110</v>
      </c>
      <c r="C13" s="47" t="s">
        <v>111</v>
      </c>
      <c r="D13" s="25" t="s">
        <v>112</v>
      </c>
      <c r="E13" s="46"/>
    </row>
    <row r="14" customFormat="false" ht="60" hidden="false" customHeight="true" outlineLevel="0" collapsed="false">
      <c r="B14" s="43" t="s">
        <v>113</v>
      </c>
      <c r="C14" s="44" t="s">
        <v>114</v>
      </c>
      <c r="D14" s="45" t="s">
        <v>115</v>
      </c>
      <c r="E14" s="46"/>
    </row>
    <row r="15" customFormat="false" ht="60" hidden="false" customHeight="true" outlineLevel="0" collapsed="false">
      <c r="B15" s="43" t="s">
        <v>116</v>
      </c>
      <c r="C15" s="47" t="s">
        <v>117</v>
      </c>
      <c r="D15" s="25" t="s">
        <v>118</v>
      </c>
      <c r="E15" s="46"/>
    </row>
    <row r="16" customFormat="false" ht="12" hidden="false" customHeight="true" outlineLevel="0" collapsed="false"/>
    <row r="17" customFormat="false" ht="27.75" hidden="false" customHeight="true" outlineLevel="0" collapsed="false">
      <c r="B17" s="37" t="s">
        <v>119</v>
      </c>
      <c r="C17" s="37"/>
      <c r="D17" s="37"/>
      <c r="E17" s="37"/>
    </row>
    <row r="18" customFormat="false" ht="25.5" hidden="false" customHeight="true" outlineLevel="0" collapsed="false">
      <c r="B18" s="9" t="s">
        <v>120</v>
      </c>
      <c r="C18" s="9" t="s">
        <v>121</v>
      </c>
      <c r="D18" s="9" t="s">
        <v>122</v>
      </c>
      <c r="E18" s="9" t="s">
        <v>123</v>
      </c>
      <c r="F18" s="9" t="s">
        <v>106</v>
      </c>
    </row>
    <row r="19" customFormat="false" ht="25.5" hidden="false" customHeight="true" outlineLevel="0" collapsed="false">
      <c r="B19" s="28" t="s">
        <v>124</v>
      </c>
      <c r="C19" s="6"/>
      <c r="D19" s="6"/>
      <c r="E19" s="12" t="n">
        <f aca="false">IFERROR(C19-D19,"")</f>
        <v>0</v>
      </c>
      <c r="F19" s="34"/>
    </row>
    <row r="20" customFormat="false" ht="25.5" hidden="false" customHeight="true" outlineLevel="0" collapsed="false">
      <c r="B20" s="28" t="s">
        <v>125</v>
      </c>
      <c r="C20" s="6"/>
      <c r="D20" s="6"/>
      <c r="E20" s="12" t="n">
        <f aca="false">IFERROR(C20-D20,"")</f>
        <v>0</v>
      </c>
      <c r="F20" s="34"/>
    </row>
    <row r="21" customFormat="false" ht="25.5" hidden="false" customHeight="true" outlineLevel="0" collapsed="false">
      <c r="B21" s="28" t="s">
        <v>126</v>
      </c>
      <c r="C21" s="6"/>
      <c r="D21" s="6"/>
      <c r="E21" s="12" t="n">
        <f aca="false">IFERROR(C21-D21,"")</f>
        <v>0</v>
      </c>
      <c r="F21" s="34"/>
    </row>
    <row r="22" customFormat="false" ht="25.5" hidden="false" customHeight="true" outlineLevel="0" collapsed="false">
      <c r="B22" s="28" t="s">
        <v>127</v>
      </c>
      <c r="C22" s="6"/>
      <c r="D22" s="6"/>
      <c r="E22" s="12" t="n">
        <f aca="false">IFERROR(C22-D22,"")</f>
        <v>0</v>
      </c>
      <c r="F22" s="34"/>
    </row>
    <row r="23" customFormat="false" ht="25.5" hidden="false" customHeight="true" outlineLevel="0" collapsed="false">
      <c r="B23" s="28" t="s">
        <v>128</v>
      </c>
      <c r="C23" s="6"/>
      <c r="D23" s="6"/>
      <c r="E23" s="12" t="n">
        <f aca="false">IFERROR(C23-D23,"")</f>
        <v>0</v>
      </c>
      <c r="F23" s="34"/>
    </row>
    <row r="24" customFormat="false" ht="25.5" hidden="false" customHeight="true" outlineLevel="0" collapsed="false">
      <c r="B24" s="28" t="s">
        <v>129</v>
      </c>
      <c r="C24" s="6"/>
      <c r="D24" s="6"/>
      <c r="E24" s="12" t="n">
        <f aca="false">IFERROR(C24-D24,"")</f>
        <v>0</v>
      </c>
      <c r="F24" s="34"/>
    </row>
    <row r="25" customFormat="false" ht="7.5" hidden="false" customHeight="true" outlineLevel="0" collapsed="false"/>
    <row r="26" customFormat="false" ht="21.75" hidden="false" customHeight="true" outlineLevel="0" collapsed="false">
      <c r="C26" s="48" t="s">
        <v>130</v>
      </c>
      <c r="D26" s="48"/>
      <c r="E26" s="48"/>
      <c r="F26" s="48"/>
    </row>
  </sheetData>
  <mergeCells count="5">
    <mergeCell ref="B2:E2"/>
    <mergeCell ref="B3:E3"/>
    <mergeCell ref="B5:E5"/>
    <mergeCell ref="B17:E17"/>
    <mergeCell ref="C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7DD"/>
    <pageSetUpPr fitToPage="false"/>
  </sheetPr>
  <dimension ref="B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2"/>
    <col collapsed="false" customWidth="true" hidden="false" outlineLevel="0" max="8" min="4" style="0" width="16"/>
    <col collapsed="false" customWidth="true" hidden="false" outlineLevel="0" max="9" min="9" style="0" width="3"/>
  </cols>
  <sheetData>
    <row r="1" customFormat="false" ht="7.5" hidden="false" customHeight="true" outlineLevel="0" collapsed="false"/>
    <row r="2" customFormat="false" ht="49.5" hidden="false" customHeight="true" outlineLevel="0" collapsed="false">
      <c r="B2" s="1" t="s">
        <v>131</v>
      </c>
      <c r="C2" s="1"/>
      <c r="D2" s="1"/>
      <c r="E2" s="1"/>
      <c r="F2" s="1"/>
      <c r="G2" s="1"/>
      <c r="H2" s="1"/>
    </row>
    <row r="3" customFormat="false" ht="21.75" hidden="false" customHeight="true" outlineLevel="0" collapsed="false">
      <c r="B3" s="2" t="s">
        <v>132</v>
      </c>
      <c r="C3" s="2"/>
      <c r="D3" s="2"/>
      <c r="E3" s="2"/>
      <c r="F3" s="2"/>
      <c r="G3" s="2"/>
      <c r="H3" s="2"/>
    </row>
    <row r="4" customFormat="false" ht="12" hidden="false" customHeight="true" outlineLevel="0" collapsed="false"/>
    <row r="5" customFormat="false" ht="27.75" hidden="false" customHeight="true" outlineLevel="0" collapsed="false">
      <c r="B5" s="9" t="s">
        <v>133</v>
      </c>
      <c r="C5" s="9" t="s">
        <v>134</v>
      </c>
      <c r="D5" s="9" t="s">
        <v>135</v>
      </c>
      <c r="E5" s="9" t="s">
        <v>76</v>
      </c>
      <c r="F5" s="9" t="s">
        <v>136</v>
      </c>
      <c r="G5" s="9" t="s">
        <v>137</v>
      </c>
      <c r="H5" s="9" t="s">
        <v>138</v>
      </c>
      <c r="I5" s="9" t="s">
        <v>139</v>
      </c>
    </row>
    <row r="6" customFormat="false" ht="30" hidden="false" customHeight="true" outlineLevel="0" collapsed="false">
      <c r="B6" s="43" t="n">
        <v>1</v>
      </c>
      <c r="C6" s="44" t="str">
        <f aca="false">IFERROR(INDEX('Debt Inventory'!C6:C15,MATCH(1,'Debt Inventory'!H6:H15,0)),"—")</f>
        <v>Medical Bill</v>
      </c>
      <c r="D6" s="42" t="n">
        <f aca="false">IFERROR(INDEX('Debt Inventory'!D6:D15,MATCH(1,'Debt Inventory'!H6:H15,0)),"")</f>
        <v>340</v>
      </c>
      <c r="E6" s="49" t="n">
        <f aca="false">IFERROR(INDEX('Debt Inventory'!E6:E15,MATCH(1,'Debt Inventory'!H6:H15,0)),"")</f>
        <v>25</v>
      </c>
      <c r="F6" s="12" t="n">
        <f aca="false">IFERROR(Setup!D6,0)</f>
        <v>100</v>
      </c>
      <c r="G6" s="12" t="n">
        <f aca="false">IFERROR(E6+F6,"")</f>
        <v>125</v>
      </c>
      <c r="H6" s="50" t="n">
        <f aca="false">IFERROR(IF(G6=0,"",CEILING(D6/G6,1)),"")</f>
        <v>3</v>
      </c>
      <c r="I6" s="14" t="n">
        <f aca="false">IFERROR(H6,"")</f>
        <v>3</v>
      </c>
    </row>
    <row r="7" customFormat="false" ht="30" hidden="false" customHeight="true" outlineLevel="0" collapsed="false">
      <c r="B7" s="28" t="n">
        <v>2</v>
      </c>
      <c r="C7" s="5" t="str">
        <f aca="false">IFERROR(INDEX('Debt Inventory'!C6:C15,MATCH(2,'Debt Inventory'!H6:H15,0)),"—")</f>
        <v>Credit Card A</v>
      </c>
      <c r="D7" s="51" t="n">
        <f aca="false">IFERROR(INDEX('Debt Inventory'!D6:D15,MATCH(2,'Debt Inventory'!H6:H15,0)),"")</f>
        <v>1200</v>
      </c>
      <c r="E7" s="51" t="n">
        <f aca="false">IFERROR(INDEX('Debt Inventory'!E6:E15,MATCH(2,'Debt Inventory'!H6:H15,0)),"")</f>
        <v>35</v>
      </c>
      <c r="F7" s="12" t="n">
        <f aca="false">IFERROR(F6+E6,"")</f>
        <v>125</v>
      </c>
      <c r="G7" s="12" t="n">
        <f aca="false">IFERROR(E7+F7,"")</f>
        <v>160</v>
      </c>
      <c r="H7" s="52" t="n">
        <f aca="false">IFERROR(IF(G7=0,"",CEILING(D7/G7,1)),"")</f>
        <v>8</v>
      </c>
      <c r="I7" s="14" t="n">
        <f aca="false">IFERROR(I6+H7,"")</f>
        <v>11</v>
      </c>
    </row>
    <row r="8" customFormat="false" ht="30" hidden="false" customHeight="true" outlineLevel="0" collapsed="false">
      <c r="B8" s="28" t="n">
        <v>3</v>
      </c>
      <c r="C8" s="10" t="str">
        <f aca="false">IFERROR(INDEX('Debt Inventory'!C6:C15,MATCH(3,'Debt Inventory'!H6:H15,0)),"—")</f>
        <v>Personal Loan</v>
      </c>
      <c r="D8" s="13" t="n">
        <f aca="false">IFERROR(INDEX('Debt Inventory'!D6:D15,MATCH(3,'Debt Inventory'!H6:H15,0)),"")</f>
        <v>3800</v>
      </c>
      <c r="E8" s="13" t="n">
        <f aca="false">IFERROR(INDEX('Debt Inventory'!E6:E15,MATCH(3,'Debt Inventory'!H6:H15,0)),"")</f>
        <v>95</v>
      </c>
      <c r="F8" s="12" t="n">
        <f aca="false">IFERROR(F7+E7,"")</f>
        <v>160</v>
      </c>
      <c r="G8" s="12" t="n">
        <f aca="false">IFERROR(E8+F8,"")</f>
        <v>255</v>
      </c>
      <c r="H8" s="38" t="n">
        <f aca="false">IFERROR(IF(G8=0,"",CEILING(D8/G8,1)),"")</f>
        <v>15</v>
      </c>
      <c r="I8" s="14" t="n">
        <f aca="false">IFERROR(I7+H8,"")</f>
        <v>26</v>
      </c>
    </row>
    <row r="9" customFormat="false" ht="30" hidden="false" customHeight="true" outlineLevel="0" collapsed="false">
      <c r="B9" s="28" t="n">
        <v>4</v>
      </c>
      <c r="C9" s="5" t="str">
        <f aca="false">IFERROR(INDEX('Debt Inventory'!C6:C15,MATCH(4,'Debt Inventory'!H6:H15,0)),"—")</f>
        <v>Credit Card B</v>
      </c>
      <c r="D9" s="51" t="n">
        <f aca="false">IFERROR(INDEX('Debt Inventory'!D6:D15,MATCH(4,'Debt Inventory'!H6:H15,0)),"")</f>
        <v>5500</v>
      </c>
      <c r="E9" s="51" t="n">
        <f aca="false">IFERROR(INDEX('Debt Inventory'!E6:E15,MATCH(4,'Debt Inventory'!H6:H15,0)),"")</f>
        <v>110</v>
      </c>
      <c r="F9" s="12" t="n">
        <f aca="false">IFERROR(F8+E8,"")</f>
        <v>255</v>
      </c>
      <c r="G9" s="12" t="n">
        <f aca="false">IFERROR(E9+F9,"")</f>
        <v>365</v>
      </c>
      <c r="H9" s="52" t="n">
        <f aca="false">IFERROR(IF(G9=0,"",CEILING(D9/G9,1)),"")</f>
        <v>16</v>
      </c>
      <c r="I9" s="38" t="n">
        <f aca="false">IFERROR(I8+H9,"")</f>
        <v>42</v>
      </c>
    </row>
    <row r="10" customFormat="false" ht="30" hidden="false" customHeight="true" outlineLevel="0" collapsed="false">
      <c r="B10" s="28" t="n">
        <v>5</v>
      </c>
      <c r="C10" s="10" t="str">
        <f aca="false">IFERROR(INDEX('Debt Inventory'!C6:C15,MATCH(5,'Debt Inventory'!H6:H15,0)),"—")</f>
        <v>Auto Loan</v>
      </c>
      <c r="D10" s="13" t="n">
        <f aca="false">IFERROR(INDEX('Debt Inventory'!D6:D15,MATCH(5,'Debt Inventory'!H6:H15,0)),"")</f>
        <v>12000</v>
      </c>
      <c r="E10" s="13" t="n">
        <f aca="false">IFERROR(INDEX('Debt Inventory'!E6:E15,MATCH(5,'Debt Inventory'!H6:H15,0)),"")</f>
        <v>280</v>
      </c>
      <c r="F10" s="12" t="n">
        <f aca="false">IFERROR(F9+E9,"")</f>
        <v>365</v>
      </c>
      <c r="G10" s="12" t="n">
        <f aca="false">IFERROR(E10+F10,"")</f>
        <v>645</v>
      </c>
      <c r="H10" s="38" t="n">
        <f aca="false">IFERROR(IF(G10=0,"",CEILING(D10/G10,1)),"")</f>
        <v>19</v>
      </c>
      <c r="I10" s="38" t="n">
        <f aca="false">IFERROR(I9+H10,"")</f>
        <v>61</v>
      </c>
    </row>
    <row r="11" customFormat="false" ht="30" hidden="false" customHeight="true" outlineLevel="0" collapsed="false">
      <c r="B11" s="28" t="n">
        <v>6</v>
      </c>
      <c r="C11" s="5" t="str">
        <f aca="false">IFERROR(INDEX('Debt Inventory'!C6:C15,MATCH(6,'Debt Inventory'!H6:H15,0)),"—")</f>
        <v>—</v>
      </c>
      <c r="D11" s="51" t="str">
        <f aca="false">IFERROR(INDEX('Debt Inventory'!D6:D15,MATCH(6,'Debt Inventory'!H6:H15,0)),"")</f>
        <v/>
      </c>
      <c r="E11" s="51" t="str">
        <f aca="false">IFERROR(INDEX('Debt Inventory'!E6:E15,MATCH(6,'Debt Inventory'!H6:H15,0)),"")</f>
        <v/>
      </c>
      <c r="F11" s="12" t="n">
        <f aca="false">IFERROR(F10+E10,"")</f>
        <v>645</v>
      </c>
      <c r="G11" s="12" t="str">
        <f aca="false">IFERROR(E11+F11,"")</f>
        <v/>
      </c>
      <c r="H11" s="52" t="str">
        <f aca="false">IFERROR(IF(G11=0,"",CEILING(D11/G11,1)),"")</f>
        <v/>
      </c>
      <c r="I11" s="38" t="str">
        <f aca="false">IFERROR(I10+H11,"")</f>
        <v/>
      </c>
    </row>
    <row r="12" customFormat="false" ht="30" hidden="false" customHeight="true" outlineLevel="0" collapsed="false">
      <c r="B12" s="28" t="n">
        <v>7</v>
      </c>
      <c r="C12" s="10" t="str">
        <f aca="false">IFERROR(INDEX('Debt Inventory'!C6:C15,MATCH(7,'Debt Inventory'!H6:H15,0)),"—")</f>
        <v>—</v>
      </c>
      <c r="D12" s="13" t="str">
        <f aca="false">IFERROR(INDEX('Debt Inventory'!D6:D15,MATCH(7,'Debt Inventory'!H6:H15,0)),"")</f>
        <v/>
      </c>
      <c r="E12" s="13" t="str">
        <f aca="false">IFERROR(INDEX('Debt Inventory'!E6:E15,MATCH(7,'Debt Inventory'!H6:H15,0)),"")</f>
        <v/>
      </c>
      <c r="F12" s="12" t="str">
        <f aca="false">IFERROR(F11+E11,"")</f>
        <v/>
      </c>
      <c r="G12" s="12" t="str">
        <f aca="false">IFERROR(E12+F12,"")</f>
        <v/>
      </c>
      <c r="H12" s="38" t="str">
        <f aca="false">IFERROR(IF(G12=0,"",CEILING(D12/G12,1)),"")</f>
        <v/>
      </c>
      <c r="I12" s="38" t="str">
        <f aca="false">IFERROR(I11+H12,"")</f>
        <v/>
      </c>
    </row>
    <row r="13" customFormat="false" ht="30" hidden="false" customHeight="true" outlineLevel="0" collapsed="false">
      <c r="B13" s="28" t="n">
        <v>8</v>
      </c>
      <c r="C13" s="5" t="str">
        <f aca="false">IFERROR(INDEX('Debt Inventory'!C6:C15,MATCH(8,'Debt Inventory'!H6:H15,0)),"—")</f>
        <v>—</v>
      </c>
      <c r="D13" s="51" t="str">
        <f aca="false">IFERROR(INDEX('Debt Inventory'!D6:D15,MATCH(8,'Debt Inventory'!H6:H15,0)),"")</f>
        <v/>
      </c>
      <c r="E13" s="51" t="str">
        <f aca="false">IFERROR(INDEX('Debt Inventory'!E6:E15,MATCH(8,'Debt Inventory'!H6:H15,0)),"")</f>
        <v/>
      </c>
      <c r="F13" s="12" t="str">
        <f aca="false">IFERROR(F12+E12,"")</f>
        <v/>
      </c>
      <c r="G13" s="12" t="str">
        <f aca="false">IFERROR(E13+F13,"")</f>
        <v/>
      </c>
      <c r="H13" s="52" t="str">
        <f aca="false">IFERROR(IF(G13=0,"",CEILING(D13/G13,1)),"")</f>
        <v/>
      </c>
      <c r="I13" s="38" t="str">
        <f aca="false">IFERROR(I12+H13,"")</f>
        <v/>
      </c>
    </row>
    <row r="14" customFormat="false" ht="30" hidden="false" customHeight="true" outlineLevel="0" collapsed="false">
      <c r="B14" s="28" t="n">
        <v>9</v>
      </c>
      <c r="C14" s="10" t="str">
        <f aca="false">IFERROR(INDEX('Debt Inventory'!C6:C15,MATCH(9,'Debt Inventory'!H6:H15,0)),"—")</f>
        <v>—</v>
      </c>
      <c r="D14" s="13" t="str">
        <f aca="false">IFERROR(INDEX('Debt Inventory'!D6:D15,MATCH(9,'Debt Inventory'!H6:H15,0)),"")</f>
        <v/>
      </c>
      <c r="E14" s="13" t="str">
        <f aca="false">IFERROR(INDEX('Debt Inventory'!E6:E15,MATCH(9,'Debt Inventory'!H6:H15,0)),"")</f>
        <v/>
      </c>
      <c r="F14" s="12" t="str">
        <f aca="false">IFERROR(F13+E13,"")</f>
        <v/>
      </c>
      <c r="G14" s="12" t="str">
        <f aca="false">IFERROR(E14+F14,"")</f>
        <v/>
      </c>
      <c r="H14" s="38" t="str">
        <f aca="false">IFERROR(IF(G14=0,"",CEILING(D14/G14,1)),"")</f>
        <v/>
      </c>
      <c r="I14" s="38" t="str">
        <f aca="false">IFERROR(I13+H14,"")</f>
        <v/>
      </c>
    </row>
    <row r="15" customFormat="false" ht="30" hidden="false" customHeight="true" outlineLevel="0" collapsed="false">
      <c r="B15" s="28" t="n">
        <v>10</v>
      </c>
      <c r="C15" s="5" t="str">
        <f aca="false">IFERROR(INDEX('Debt Inventory'!C6:C15,MATCH(10,'Debt Inventory'!H6:H15,0)),"—")</f>
        <v>—</v>
      </c>
      <c r="D15" s="51" t="str">
        <f aca="false">IFERROR(INDEX('Debt Inventory'!D6:D15,MATCH(10,'Debt Inventory'!H6:H15,0)),"")</f>
        <v/>
      </c>
      <c r="E15" s="51" t="str">
        <f aca="false">IFERROR(INDEX('Debt Inventory'!E6:E15,MATCH(10,'Debt Inventory'!H6:H15,0)),"")</f>
        <v/>
      </c>
      <c r="F15" s="12" t="str">
        <f aca="false">IFERROR(F14+E14,"")</f>
        <v/>
      </c>
      <c r="G15" s="12" t="str">
        <f aca="false">IFERROR(E15+F15,"")</f>
        <v/>
      </c>
      <c r="H15" s="52" t="str">
        <f aca="false">IFERROR(IF(G15=0,"",CEILING(D15/G15,1)),"")</f>
        <v/>
      </c>
      <c r="I15" s="38" t="str">
        <f aca="false">IFERROR(I14+H15,"")</f>
        <v/>
      </c>
    </row>
    <row r="16" customFormat="false" ht="27.75" hidden="false" customHeight="true" outlineLevel="0" collapsed="false">
      <c r="B16" s="35"/>
      <c r="C16" s="9" t="s">
        <v>140</v>
      </c>
      <c r="D16" s="36" t="n">
        <f aca="false">SUM(D6:D15)</f>
        <v>22840</v>
      </c>
      <c r="E16" s="36" t="n">
        <f aca="false">SUM(E6:E15)</f>
        <v>545</v>
      </c>
      <c r="F16" s="35"/>
      <c r="G16" s="35"/>
      <c r="H16" s="35"/>
    </row>
    <row r="17" customFormat="false" ht="9.75" hidden="false" customHeight="true" outlineLevel="0" collapsed="false"/>
    <row r="18" customFormat="false" ht="25.5" hidden="false" customHeight="true" outlineLevel="0" collapsed="false">
      <c r="C18" s="40" t="s">
        <v>141</v>
      </c>
      <c r="D18" s="40"/>
      <c r="E18" s="40"/>
      <c r="F18" s="40"/>
      <c r="G18" s="40"/>
      <c r="H18" s="40"/>
      <c r="I18" s="40"/>
    </row>
    <row r="19" customFormat="false" ht="9.75" hidden="false" customHeight="true" outlineLevel="0" collapsed="false"/>
    <row r="20" customFormat="false" ht="27.75" hidden="false" customHeight="true" outlineLevel="0" collapsed="false">
      <c r="C20" s="53" t="s">
        <v>142</v>
      </c>
      <c r="D20" s="53"/>
      <c r="E20" s="53"/>
      <c r="F20" s="53"/>
      <c r="G20" s="53"/>
      <c r="H20" s="53"/>
      <c r="I20" s="53"/>
    </row>
  </sheetData>
  <mergeCells count="4">
    <mergeCell ref="B2:H2"/>
    <mergeCell ref="B3:H3"/>
    <mergeCell ref="C18:I18"/>
    <mergeCell ref="C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A7517"/>
    <pageSetUpPr fitToPage="false"/>
  </sheetPr>
  <dimension ref="B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28"/>
    <col collapsed="false" customWidth="true" hidden="false" outlineLevel="0" max="4" min="4" style="0" width="46"/>
    <col collapsed="false" customWidth="true" hidden="false" outlineLevel="0" max="5" min="5" style="0" width="3"/>
  </cols>
  <sheetData>
    <row r="1" customFormat="false" ht="7.5" hidden="false" customHeight="true" outlineLevel="0" collapsed="false"/>
    <row r="2" customFormat="false" ht="49.5" hidden="false" customHeight="true" outlineLevel="0" collapsed="false">
      <c r="B2" s="1" t="s">
        <v>143</v>
      </c>
      <c r="C2" s="1"/>
      <c r="D2" s="1"/>
    </row>
    <row r="3" customFormat="false" ht="21.75" hidden="false" customHeight="true" outlineLevel="0" collapsed="false">
      <c r="B3" s="2" t="s">
        <v>144</v>
      </c>
      <c r="C3" s="2"/>
      <c r="D3" s="2"/>
    </row>
    <row r="4" customFormat="false" ht="12" hidden="false" customHeight="true" outlineLevel="0" collapsed="false"/>
    <row r="5" customFormat="false" ht="30" hidden="false" customHeight="true" outlineLevel="0" collapsed="false">
      <c r="B5" s="54" t="s">
        <v>145</v>
      </c>
      <c r="C5" s="54"/>
      <c r="D5" s="54"/>
    </row>
    <row r="6" customFormat="false" ht="48" hidden="false" customHeight="true" outlineLevel="0" collapsed="false">
      <c r="B6" s="27" t="s">
        <v>146</v>
      </c>
      <c r="C6" s="45" t="s">
        <v>147</v>
      </c>
      <c r="D6" s="45"/>
    </row>
    <row r="7" customFormat="false" ht="48" hidden="false" customHeight="true" outlineLevel="0" collapsed="false">
      <c r="B7" s="27" t="s">
        <v>148</v>
      </c>
      <c r="C7" s="55" t="s">
        <v>149</v>
      </c>
      <c r="D7" s="55"/>
    </row>
    <row r="8" customFormat="false" ht="48" hidden="false" customHeight="true" outlineLevel="0" collapsed="false">
      <c r="B8" s="27" t="s">
        <v>150</v>
      </c>
      <c r="C8" s="55" t="s">
        <v>151</v>
      </c>
      <c r="D8" s="55"/>
    </row>
    <row r="9" customFormat="false" ht="48" hidden="false" customHeight="true" outlineLevel="0" collapsed="false">
      <c r="B9" s="27" t="s">
        <v>152</v>
      </c>
      <c r="C9" s="55" t="s">
        <v>153</v>
      </c>
      <c r="D9" s="55"/>
    </row>
    <row r="10" customFormat="false" ht="48" hidden="false" customHeight="true" outlineLevel="0" collapsed="false">
      <c r="B10" s="27" t="s">
        <v>154</v>
      </c>
      <c r="C10" s="45" t="s">
        <v>155</v>
      </c>
      <c r="D10" s="45"/>
    </row>
    <row r="11" customFormat="false" ht="48" hidden="false" customHeight="true" outlineLevel="0" collapsed="false">
      <c r="B11" s="27" t="s">
        <v>156</v>
      </c>
      <c r="C11" s="45" t="s">
        <v>157</v>
      </c>
      <c r="D11" s="45"/>
    </row>
    <row r="12" customFormat="false" ht="7.5" hidden="false" customHeight="true" outlineLevel="0" collapsed="false"/>
    <row r="13" customFormat="false" ht="30" hidden="false" customHeight="true" outlineLevel="0" collapsed="false">
      <c r="B13" s="56" t="s">
        <v>158</v>
      </c>
      <c r="C13" s="56"/>
      <c r="D13" s="56"/>
    </row>
    <row r="14" customFormat="false" ht="48" hidden="false" customHeight="true" outlineLevel="0" collapsed="false">
      <c r="B14" s="26" t="s">
        <v>146</v>
      </c>
      <c r="C14" s="57" t="s">
        <v>159</v>
      </c>
      <c r="D14" s="57"/>
    </row>
    <row r="15" customFormat="false" ht="48" hidden="false" customHeight="true" outlineLevel="0" collapsed="false">
      <c r="B15" s="26" t="s">
        <v>148</v>
      </c>
      <c r="C15" s="58" t="s">
        <v>160</v>
      </c>
      <c r="D15" s="58"/>
    </row>
    <row r="16" customFormat="false" ht="48" hidden="false" customHeight="true" outlineLevel="0" collapsed="false">
      <c r="B16" s="26" t="s">
        <v>161</v>
      </c>
      <c r="C16" s="58" t="s">
        <v>162</v>
      </c>
      <c r="D16" s="58"/>
    </row>
    <row r="17" customFormat="false" ht="48" hidden="false" customHeight="true" outlineLevel="0" collapsed="false">
      <c r="B17" s="26" t="s">
        <v>163</v>
      </c>
      <c r="C17" s="58" t="s">
        <v>164</v>
      </c>
      <c r="D17" s="58"/>
    </row>
    <row r="18" customFormat="false" ht="48" hidden="false" customHeight="true" outlineLevel="0" collapsed="false">
      <c r="B18" s="26" t="s">
        <v>165</v>
      </c>
      <c r="C18" s="57" t="s">
        <v>166</v>
      </c>
      <c r="D18" s="57"/>
    </row>
    <row r="19" customFormat="false" ht="48" hidden="false" customHeight="true" outlineLevel="0" collapsed="false">
      <c r="B19" s="26" t="s">
        <v>156</v>
      </c>
      <c r="C19" s="57" t="s">
        <v>167</v>
      </c>
      <c r="D19" s="57"/>
    </row>
    <row r="20" customFormat="false" ht="7.5" hidden="false" customHeight="true" outlineLevel="0" collapsed="false"/>
    <row r="21" customFormat="false" ht="30" hidden="false" customHeight="true" outlineLevel="0" collapsed="false">
      <c r="B21" s="59" t="s">
        <v>168</v>
      </c>
      <c r="C21" s="59"/>
      <c r="D21" s="59"/>
    </row>
    <row r="22" customFormat="false" ht="48" hidden="false" customHeight="true" outlineLevel="0" collapsed="false">
      <c r="B22" s="60" t="s">
        <v>146</v>
      </c>
      <c r="C22" s="61" t="s">
        <v>169</v>
      </c>
      <c r="D22" s="61"/>
    </row>
    <row r="23" customFormat="false" ht="48" hidden="false" customHeight="true" outlineLevel="0" collapsed="false">
      <c r="B23" s="60" t="s">
        <v>148</v>
      </c>
      <c r="C23" s="62" t="s">
        <v>170</v>
      </c>
      <c r="D23" s="62"/>
    </row>
    <row r="24" customFormat="false" ht="48" hidden="false" customHeight="true" outlineLevel="0" collapsed="false">
      <c r="B24" s="60" t="s">
        <v>171</v>
      </c>
      <c r="C24" s="62" t="s">
        <v>172</v>
      </c>
      <c r="D24" s="62"/>
    </row>
    <row r="25" customFormat="false" ht="48" hidden="false" customHeight="true" outlineLevel="0" collapsed="false">
      <c r="B25" s="60" t="s">
        <v>173</v>
      </c>
      <c r="C25" s="62" t="s">
        <v>174</v>
      </c>
      <c r="D25" s="62"/>
    </row>
    <row r="26" customFormat="false" ht="48" hidden="false" customHeight="true" outlineLevel="0" collapsed="false">
      <c r="B26" s="60" t="s">
        <v>154</v>
      </c>
      <c r="C26" s="61" t="s">
        <v>175</v>
      </c>
      <c r="D26" s="61"/>
    </row>
    <row r="27" customFormat="false" ht="48" hidden="false" customHeight="true" outlineLevel="0" collapsed="false">
      <c r="B27" s="60" t="s">
        <v>156</v>
      </c>
      <c r="C27" s="61" t="s">
        <v>176</v>
      </c>
      <c r="D27" s="61"/>
    </row>
    <row r="28" customFormat="false" ht="7.5" hidden="false" customHeight="true" outlineLevel="0" collapsed="false"/>
  </sheetData>
  <mergeCells count="23">
    <mergeCell ref="B2:D2"/>
    <mergeCell ref="B3:D3"/>
    <mergeCell ref="B5:D5"/>
    <mergeCell ref="C6:D6"/>
    <mergeCell ref="C7:D7"/>
    <mergeCell ref="C8:D8"/>
    <mergeCell ref="C9:D9"/>
    <mergeCell ref="C10:D10"/>
    <mergeCell ref="C11:D11"/>
    <mergeCell ref="B13:D13"/>
    <mergeCell ref="C14:D14"/>
    <mergeCell ref="C15:D15"/>
    <mergeCell ref="C16:D16"/>
    <mergeCell ref="C17:D17"/>
    <mergeCell ref="C18:D18"/>
    <mergeCell ref="C19:D19"/>
    <mergeCell ref="B21:D21"/>
    <mergeCell ref="C22:D22"/>
    <mergeCell ref="C23:D23"/>
    <mergeCell ref="C24:D24"/>
    <mergeCell ref="C25:D25"/>
    <mergeCell ref="C26:D26"/>
    <mergeCell ref="C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8522"/>
    <pageSetUpPr fitToPage="false"/>
  </sheetPr>
  <dimension ref="B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28"/>
    <col collapsed="false" customWidth="true" hidden="false" outlineLevel="0" max="4" min="4" style="0" width="44"/>
    <col collapsed="false" customWidth="true" hidden="false" outlineLevel="0" max="5" min="5" style="0" width="3"/>
  </cols>
  <sheetData>
    <row r="1" customFormat="false" ht="7.5" hidden="false" customHeight="true" outlineLevel="0" collapsed="false"/>
    <row r="2" customFormat="false" ht="49.5" hidden="false" customHeight="true" outlineLevel="0" collapsed="false">
      <c r="B2" s="1" t="s">
        <v>177</v>
      </c>
      <c r="C2" s="1"/>
      <c r="D2" s="1"/>
    </row>
    <row r="3" customFormat="false" ht="21.75" hidden="false" customHeight="true" outlineLevel="0" collapsed="false">
      <c r="B3" s="2" t="str">
        <f aca="false">IF(Setup!D9="","Fill in Input 5 on Setup tab","Your fear: "&amp;Setup!D9)</f>
        <v>Your fear: I'll never pay it all off</v>
      </c>
      <c r="C3" s="2"/>
      <c r="D3" s="2"/>
    </row>
    <row r="4" customFormat="false" ht="12" hidden="false" customHeight="true" outlineLevel="0" collapsed="false"/>
    <row r="5" customFormat="false" ht="30" hidden="false" customHeight="true" outlineLevel="0" collapsed="false">
      <c r="B5" s="54" t="s">
        <v>178</v>
      </c>
      <c r="C5" s="54"/>
      <c r="D5" s="54"/>
    </row>
    <row r="6" customFormat="false" ht="51.75" hidden="false" customHeight="true" outlineLevel="0" collapsed="false">
      <c r="B6" s="63" t="s">
        <v>30</v>
      </c>
      <c r="C6" s="64" t="s">
        <v>179</v>
      </c>
      <c r="D6" s="17" t="s">
        <v>180</v>
      </c>
    </row>
    <row r="7" customFormat="false" ht="51.75" hidden="false" customHeight="true" outlineLevel="0" collapsed="false">
      <c r="B7" s="63" t="s">
        <v>30</v>
      </c>
      <c r="C7" s="64" t="s">
        <v>181</v>
      </c>
      <c r="D7" s="17" t="s">
        <v>182</v>
      </c>
    </row>
    <row r="8" customFormat="false" ht="51.75" hidden="false" customHeight="true" outlineLevel="0" collapsed="false">
      <c r="B8" s="63" t="s">
        <v>30</v>
      </c>
      <c r="C8" s="64" t="s">
        <v>183</v>
      </c>
      <c r="D8" s="17" t="s">
        <v>184</v>
      </c>
    </row>
    <row r="9" customFormat="false" ht="51.75" hidden="false" customHeight="true" outlineLevel="0" collapsed="false">
      <c r="B9" s="63" t="s">
        <v>30</v>
      </c>
      <c r="C9" s="64" t="s">
        <v>185</v>
      </c>
      <c r="D9" s="17" t="s">
        <v>186</v>
      </c>
    </row>
    <row r="10" customFormat="false" ht="51.75" hidden="false" customHeight="true" outlineLevel="0" collapsed="false">
      <c r="B10" s="63" t="s">
        <v>30</v>
      </c>
      <c r="C10" s="64" t="s">
        <v>187</v>
      </c>
      <c r="D10" s="17" t="s">
        <v>188</v>
      </c>
    </row>
    <row r="11" customFormat="false" ht="7.5" hidden="false" customHeight="true" outlineLevel="0" collapsed="false"/>
    <row r="12" customFormat="false" ht="30" hidden="false" customHeight="true" outlineLevel="0" collapsed="false">
      <c r="B12" s="56" t="s">
        <v>189</v>
      </c>
      <c r="C12" s="56"/>
      <c r="D12" s="56"/>
    </row>
    <row r="13" customFormat="false" ht="51.75" hidden="false" customHeight="true" outlineLevel="0" collapsed="false">
      <c r="B13" s="65" t="s">
        <v>30</v>
      </c>
      <c r="C13" s="66" t="s">
        <v>190</v>
      </c>
      <c r="D13" s="67" t="s">
        <v>191</v>
      </c>
    </row>
    <row r="14" customFormat="false" ht="51.75" hidden="false" customHeight="true" outlineLevel="0" collapsed="false">
      <c r="B14" s="65" t="s">
        <v>30</v>
      </c>
      <c r="C14" s="66" t="s">
        <v>192</v>
      </c>
      <c r="D14" s="67" t="s">
        <v>193</v>
      </c>
    </row>
    <row r="15" customFormat="false" ht="51.75" hidden="false" customHeight="true" outlineLevel="0" collapsed="false">
      <c r="B15" s="65" t="s">
        <v>30</v>
      </c>
      <c r="C15" s="66" t="s">
        <v>194</v>
      </c>
      <c r="D15" s="67" t="s">
        <v>195</v>
      </c>
    </row>
    <row r="16" customFormat="false" ht="51.75" hidden="false" customHeight="true" outlineLevel="0" collapsed="false">
      <c r="B16" s="65" t="s">
        <v>30</v>
      </c>
      <c r="C16" s="66" t="s">
        <v>185</v>
      </c>
      <c r="D16" s="67" t="s">
        <v>196</v>
      </c>
    </row>
    <row r="17" customFormat="false" ht="51.75" hidden="false" customHeight="true" outlineLevel="0" collapsed="false">
      <c r="B17" s="65" t="s">
        <v>30</v>
      </c>
      <c r="C17" s="66" t="s">
        <v>197</v>
      </c>
      <c r="D17" s="67" t="s">
        <v>198</v>
      </c>
    </row>
    <row r="18" customFormat="false" ht="7.5" hidden="false" customHeight="true" outlineLevel="0" collapsed="false"/>
    <row r="19" customFormat="false" ht="30" hidden="false" customHeight="true" outlineLevel="0" collapsed="false">
      <c r="B19" s="59" t="s">
        <v>199</v>
      </c>
      <c r="C19" s="59"/>
      <c r="D19" s="59"/>
    </row>
    <row r="20" customFormat="false" ht="51.75" hidden="false" customHeight="true" outlineLevel="0" collapsed="false">
      <c r="B20" s="68" t="s">
        <v>30</v>
      </c>
      <c r="C20" s="69" t="s">
        <v>200</v>
      </c>
      <c r="D20" s="23" t="s">
        <v>201</v>
      </c>
    </row>
    <row r="21" customFormat="false" ht="51.75" hidden="false" customHeight="true" outlineLevel="0" collapsed="false">
      <c r="B21" s="68" t="s">
        <v>30</v>
      </c>
      <c r="C21" s="69" t="s">
        <v>202</v>
      </c>
      <c r="D21" s="23" t="s">
        <v>203</v>
      </c>
    </row>
    <row r="22" customFormat="false" ht="51.75" hidden="false" customHeight="true" outlineLevel="0" collapsed="false">
      <c r="B22" s="68" t="s">
        <v>30</v>
      </c>
      <c r="C22" s="69" t="s">
        <v>204</v>
      </c>
      <c r="D22" s="23" t="s">
        <v>205</v>
      </c>
    </row>
    <row r="23" customFormat="false" ht="51.75" hidden="false" customHeight="true" outlineLevel="0" collapsed="false">
      <c r="B23" s="68" t="s">
        <v>30</v>
      </c>
      <c r="C23" s="69" t="s">
        <v>206</v>
      </c>
      <c r="D23" s="23" t="s">
        <v>207</v>
      </c>
    </row>
    <row r="24" customFormat="false" ht="51.75" hidden="false" customHeight="true" outlineLevel="0" collapsed="false">
      <c r="B24" s="68" t="s">
        <v>30</v>
      </c>
      <c r="C24" s="69" t="s">
        <v>208</v>
      </c>
      <c r="D24" s="23" t="s">
        <v>209</v>
      </c>
    </row>
    <row r="25" customFormat="false" ht="7.5" hidden="false" customHeight="true" outlineLevel="0" collapsed="false"/>
  </sheetData>
  <mergeCells count="5">
    <mergeCell ref="B2:D2"/>
    <mergeCell ref="B3:D3"/>
    <mergeCell ref="B5:D5"/>
    <mergeCell ref="B12:D12"/>
    <mergeCell ref="B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2026-04-01T14:53:37Z</dcterms:created>
  <dc:creator>openpyxl</dc:creator>
  <dc:description/>
  <dc:language>en-US</dc:language>
  <cp:lastModifiedBy/>
  <dcterms:modified xsi:type="dcterms:W3CDTF">2026-04-01T14:53:37Z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