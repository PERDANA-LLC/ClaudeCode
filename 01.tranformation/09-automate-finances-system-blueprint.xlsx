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Bills Tracker" sheetId="2" state="visible" r:id="rId4"/>
    <sheet name="Savings Plan" sheetId="3" state="visible" r:id="rId5"/>
    <sheet name="Automation Calendar" sheetId="4" state="visible" r:id="rId6"/>
    <sheet name="Bank Guide" sheetId="5" state="visible" r:id="rId7"/>
    <sheet name="30-Day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<sst xmlns="http://schemas.openxmlformats.org/spreadsheetml/2006/main" count="327" uniqueCount="257">
  <si>
    <t xml:space="preserve">Automate Your Finances in One Saturday</t>
  </si>
  <si>
    <t xml:space="preserve">Set It, Forget It Forever — Personal Finance Automation System</t>
  </si>
  <si>
    <t xml:space="preserve">YOUR INFORMATION — Fill in the yellow cells</t>
  </si>
  <si>
    <t xml:space="preserve">Input 1</t>
  </si>
  <si>
    <t xml:space="preserve">Which bank do you use?</t>
  </si>
  <si>
    <t xml:space="preserve">Chase</t>
  </si>
  <si>
    <t xml:space="preserve">Select your bank — see Bank sheet for options</t>
  </si>
  <si>
    <t xml:space="preserve">Input 2</t>
  </si>
  <si>
    <t xml:space="preserve">Monthly take-home income</t>
  </si>
  <si>
    <t xml:space="preserve">After-tax dollars deposited each month</t>
  </si>
  <si>
    <t xml:space="preserve">Input 3</t>
  </si>
  <si>
    <t xml:space="preserve">Bills paid manually (comma separated)</t>
  </si>
  <si>
    <t xml:space="preserve">Rent, Utilities, Credit Card</t>
  </si>
  <si>
    <t xml:space="preserve">List every bill you currently pay by hand</t>
  </si>
  <si>
    <t xml:space="preserve">Input 4</t>
  </si>
  <si>
    <t xml:space="preserve">Do you have a separate savings account?</t>
  </si>
  <si>
    <t xml:space="preserve">Yes</t>
  </si>
  <si>
    <t xml:space="preserve">Yes / No / Want to open one</t>
  </si>
  <si>
    <t xml:space="preserve">Input 5a</t>
  </si>
  <si>
    <t xml:space="preserve">Pay frequency</t>
  </si>
  <si>
    <t xml:space="preserve">Bi-weekly</t>
  </si>
  <si>
    <t xml:space="preserve">Weekly / Bi-weekly / Semi-monthly / Monthly</t>
  </si>
  <si>
    <t xml:space="preserve">Input 5b</t>
  </si>
  <si>
    <t xml:space="preserve">Pay date(s)</t>
  </si>
  <si>
    <t xml:space="preserve">1st and 15th</t>
  </si>
  <si>
    <t xml:space="preserve">Day(s) of month your direct deposit arrives</t>
  </si>
  <si>
    <t xml:space="preserve">AUTOMATION MATH — Auto-calculated from your inputs</t>
  </si>
  <si>
    <t xml:space="preserve">Monthly income</t>
  </si>
  <si>
    <t xml:space="preserve">Emergency buffer (10%)</t>
  </si>
  <si>
    <t xml:space="preserve">Recommended savings xfer</t>
  </si>
  <si>
    <t xml:space="preserve">Investment contribution</t>
  </si>
  <si>
    <t xml:space="preserve">Bills budget ceiling</t>
  </si>
  <si>
    <t xml:space="preserve">Remaining / discretionary</t>
  </si>
  <si>
    <t xml:space="preserve">Navigate the tabs below →  Bills Tracker  |  Savings Plan  |  Automation Calendar  |  Bank Guide</t>
  </si>
  <si>
    <t xml:space="preserve">HOW TO USE THIS WORKBOOK</t>
  </si>
  <si>
    <t xml:space="preserve">This workbook automates your personal finances in one Saturday. You fill in 5 cells above — the rest calculates itself. Follow the 4 steps below, then use the tabs at the bottom to complete your setup.</t>
  </si>
  <si>
    <t xml:space="preserve">STEP 1</t>
  </si>
  <si>
    <t xml:space="preserve">Fill in your 5 inputs (this tab, yellow cells above)</t>
  </si>
  <si>
    <t xml:space="preserve">→</t>
  </si>
  <si>
    <t xml:space="preserve">Input 1 — Select your bank from the dropdown or type it in.</t>
  </si>
  <si>
    <t xml:space="preserve">Input 2 — Enter your monthly take-home pay (after taxes).</t>
  </si>
  <si>
    <t xml:space="preserve">Input 3 — List every bill you currently pay by hand, comma separated.</t>
  </si>
  <si>
    <t xml:space="preserve">Input 4 — Answer Yes / No / Want to open one for your savings account.</t>
  </si>
  <si>
    <t xml:space="preserve">Input 5a &amp; 5b — Enter how often you get paid and on which date(s).</t>
  </si>
  <si>
    <t xml:space="preserve">STEP 2</t>
  </si>
  <si>
    <t xml:space="preserve">Set up autopay for every bill  →  Bills Tracker tab</t>
  </si>
  <si>
    <t xml:space="preserve">Go to the Bills Tracker tab — your bills are pre-listed.</t>
  </si>
  <si>
    <t xml:space="preserve">For each bill, visit that company's website and turn on autopay.</t>
  </si>
  <si>
    <t xml:space="preserve">Come back and change the 'Autopay Set Up?' column from No → Yes.</t>
  </si>
  <si>
    <t xml:space="preserve">Goal: every row in that column reads Yes before end of Saturday.</t>
  </si>
  <si>
    <t xml:space="preserve">The status summary at the bottom tracks your progress automatically.</t>
  </si>
  <si>
    <t xml:space="preserve">STEP 3</t>
  </si>
  <si>
    <t xml:space="preserve">Automate savings &amp; investments  →  Savings Plan tab</t>
  </si>
  <si>
    <t xml:space="preserve">Open the Savings Plan tab — it shows your account architecture.</t>
  </si>
  <si>
    <t xml:space="preserve">Log into your bank and set up a recurring transfer to your HYSA.</t>
  </si>
  <si>
    <t xml:space="preserve">Use the amount shown in the Auto-Transfer Schedule (pulled from your income).</t>
  </si>
  <si>
    <t xml:space="preserve">If you don't have a HYSA yet, Ally and Marcus are the best options — no fees.</t>
  </si>
  <si>
    <t xml:space="preserve">Repeat for your brokerage / Roth IRA investment contribution.</t>
  </si>
  <si>
    <t xml:space="preserve">STEP 4</t>
  </si>
  <si>
    <t xml:space="preserve">Verify everything fired correctly  →  30-Day Checklist tab</t>
  </si>
  <si>
    <t xml:space="preserve">After your first automated payment cycle, open the 30-Day Checklist tab.</t>
  </si>
  <si>
    <t xml:space="preserve">Work through each check week-by-week — mark the Status column as Done.</t>
  </si>
  <si>
    <t xml:space="preserve">The most common issue: forgetting to cancel a manual payment you used to make.</t>
  </si>
  <si>
    <t xml:space="preserve">Check the Automation Calendar tab to confirm dates match your bank statement.</t>
  </si>
  <si>
    <t xml:space="preserve">If something looks off, refer to the Bank Guide tab for your bank's support path.</t>
  </si>
  <si>
    <t xml:space="preserve">COLOR LEGEND — What each cell color means</t>
  </si>
  <si>
    <t xml:space="preserve">Yellow cell</t>
  </si>
  <si>
    <t xml:space="preserve">Fill this in — it's an input you need to provide</t>
  </si>
  <si>
    <t xml:space="preserve">Blue text</t>
  </si>
  <si>
    <t xml:space="preserve">Hardcoded value or input you can change for your situation</t>
  </si>
  <si>
    <t xml:space="preserve">Teal/green cell</t>
  </si>
  <si>
    <t xml:space="preserve">Auto-calculated — do not edit, updates from your inputs</t>
  </si>
  <si>
    <t xml:space="preserve">Purple cell</t>
  </si>
  <si>
    <t xml:space="preserve">Label or category tag — for reference only</t>
  </si>
  <si>
    <t xml:space="preserve">Gray cell</t>
  </si>
  <si>
    <t xml:space="preserve">Pre-filled example or reference data — update to match your bills</t>
  </si>
  <si>
    <t xml:space="preserve">Amber/yellow cell</t>
  </si>
  <si>
    <t xml:space="preserve">Tip or warning — read before proceeding</t>
  </si>
  <si>
    <t xml:space="preserve">Total time: ~80 minutes  |  Step 1: 10 min  |  Step 2: 30 min  |  Step 3: 20 min  |  Step 4: 5 min setup + 30-day verify</t>
  </si>
  <si>
    <t xml:space="preserve">Bills Autopay Tracker</t>
  </si>
  <si>
    <t xml:space="preserve">Bill Name</t>
  </si>
  <si>
    <t xml:space="preserve">Amount ($)</t>
  </si>
  <si>
    <t xml:space="preserve">Due Date</t>
  </si>
  <si>
    <t xml:space="preserve">Frequency</t>
  </si>
  <si>
    <t xml:space="preserve">Autopay Set Up?</t>
  </si>
  <si>
    <t xml:space="preserve">Autopay Method</t>
  </si>
  <si>
    <t xml:space="preserve">Notes</t>
  </si>
  <si>
    <t xml:space="preserve">Rent / Mortgage</t>
  </si>
  <si>
    <t xml:space="preserve">1st</t>
  </si>
  <si>
    <t xml:space="preserve">Monthly</t>
  </si>
  <si>
    <t xml:space="preserve">Bank Bill Pay</t>
  </si>
  <si>
    <t xml:space="preserve">Electric</t>
  </si>
  <si>
    <t xml:space="preserve">15th</t>
  </si>
  <si>
    <t xml:space="preserve">No</t>
  </si>
  <si>
    <t xml:space="preserve">Set up on utility website</t>
  </si>
  <si>
    <t xml:space="preserve">Internet</t>
  </si>
  <si>
    <t xml:space="preserve">10th</t>
  </si>
  <si>
    <t xml:space="preserve">Card on file</t>
  </si>
  <si>
    <t xml:space="preserve">Credit Card</t>
  </si>
  <si>
    <t xml:space="preserve">22nd</t>
  </si>
  <si>
    <t xml:space="preserve">Min payment or full balance</t>
  </si>
  <si>
    <t xml:space="preserve">Car Insurance</t>
  </si>
  <si>
    <t xml:space="preserve">Streaming (Netflix)</t>
  </si>
  <si>
    <t xml:space="preserve">8th</t>
  </si>
  <si>
    <t xml:space="preserve">Gym</t>
  </si>
  <si>
    <t xml:space="preserve">Student Loan</t>
  </si>
  <si>
    <t xml:space="preserve">20th</t>
  </si>
  <si>
    <t xml:space="preserve">Phone</t>
  </si>
  <si>
    <t xml:space="preserve">5th</t>
  </si>
  <si>
    <t xml:space="preserve">AutoPay discount</t>
  </si>
  <si>
    <t xml:space="preserve">Other</t>
  </si>
  <si>
    <t xml:space="preserve">TOTAL MONTHLY BILLS</t>
  </si>
  <si>
    <t xml:space="preserve">AUTOPAY STATUS SUMMARY</t>
  </si>
  <si>
    <t xml:space="preserve">Bills with autopay ON</t>
  </si>
  <si>
    <t xml:space="preserve">Bills still manual</t>
  </si>
  <si>
    <t xml:space="preserve">Savings &amp; Investment Automation Plan</t>
  </si>
  <si>
    <t xml:space="preserve">ACCOUNT ARCHITECTURE</t>
  </si>
  <si>
    <t xml:space="preserve">Checking Account</t>
  </si>
  <si>
    <t xml:space="preserve">Primary account — payday deposits here first</t>
  </si>
  <si>
    <t xml:space="preserve">High-Yield Savings</t>
  </si>
  <si>
    <t xml:space="preserve">Emergency fund + short-term goals (HYSA)</t>
  </si>
  <si>
    <t xml:space="preserve">Brokerage / Roth IRA</t>
  </si>
  <si>
    <t xml:space="preserve">Long-term investment contributions</t>
  </si>
  <si>
    <t xml:space="preserve">Bills Account (opt.)</t>
  </si>
  <si>
    <t xml:space="preserve">Optional — dedicated account for autopay bills</t>
  </si>
  <si>
    <t xml:space="preserve">AUTO-TRANSFER SCHEDULE</t>
  </si>
  <si>
    <t xml:space="preserve">Transfer Name</t>
  </si>
  <si>
    <t xml:space="preserve">From → To</t>
  </si>
  <si>
    <t xml:space="preserve">Amount</t>
  </si>
  <si>
    <t xml:space="preserve">Trigger Day</t>
  </si>
  <si>
    <t xml:space="preserve">Status</t>
  </si>
  <si>
    <t xml:space="preserve">Savings xfer</t>
  </si>
  <si>
    <t xml:space="preserve">Checking → HYSA</t>
  </si>
  <si>
    <t xml:space="preserve">Payday + 1 day</t>
  </si>
  <si>
    <t xml:space="preserve">Set up</t>
  </si>
  <si>
    <t xml:space="preserve">Investment contrib.</t>
  </si>
  <si>
    <t xml:space="preserve">Checking → Brokerage</t>
  </si>
  <si>
    <t xml:space="preserve">Payday + 2 days</t>
  </si>
  <si>
    <t xml:space="preserve">Bills buffer</t>
  </si>
  <si>
    <t xml:space="preserve">Checking → Bills Acct</t>
  </si>
  <si>
    <t xml:space="preserve">Payday</t>
  </si>
  <si>
    <t xml:space="preserve">Optional</t>
  </si>
  <si>
    <t xml:space="preserve">Emergency top-up</t>
  </si>
  <si>
    <t xml:space="preserve">1st of month</t>
  </si>
  <si>
    <t xml:space="preserve">When needed</t>
  </si>
  <si>
    <t xml:space="preserve">MONTHLY MONEY SNAPSHOT</t>
  </si>
  <si>
    <t xml:space="preserve">Total income</t>
  </si>
  <si>
    <t xml:space="preserve">Total bills</t>
  </si>
  <si>
    <t xml:space="preserve">Savings transfer</t>
  </si>
  <si>
    <t xml:space="preserve">Discretionary left</t>
  </si>
  <si>
    <t xml:space="preserve">Monthly Automation Calendar</t>
  </si>
  <si>
    <t xml:space="preserve">Automation / Bill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</si>
  <si>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</si>
  <si>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</si>
  <si>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</si>
  <si>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</si>
  <si>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</si>
  <si>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</si>
  <si>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</si>
  <si>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</si>
  <si>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</si>
  <si>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</si>
  <si>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</si>
  <si>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</si>
  <si>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</si>
  <si>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</si>
  <si>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</si>
  <si>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</si>
  <si>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</si>
  <si>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</si>
  <si>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</si>
  <si>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</si>
  <si>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</si>
  <si>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</si>
  <si>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</si>
  <si>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</si>
  <si>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</si>
  <si>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</si>
  <si>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</si>
  <si>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</si>
  <si>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</si>
  <si>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</si>
  <si>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</si>
  <si>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💰 Payday</t>
  </si>
  <si>
    <t xml:space="preserve">●</t>
  </si>
  <si>
    <t xml:space="preserve">→ Savings Transfer</t>
  </si>
  <si>
    <t xml:space="preserve">→ Investment Contrib.</t>
  </si>
  <si>
    <t xml:space="preserve">Streaming</t>
  </si>
  <si>
    <t xml:space="preserve">LEGEND</t>
  </si>
  <si>
    <t xml:space="preserve">💰 Payday / Income</t>
  </si>
  <si>
    <t xml:space="preserve">→ Savings / Investment</t>
  </si>
  <si>
    <t xml:space="preserve">→ Bill Autopay</t>
  </si>
  <si>
    <t xml:space="preserve">→ Investment</t>
  </si>
  <si>
    <t xml:space="preserve">Bank-Specific Autopay Setup Guide — Top 10 Banks</t>
  </si>
  <si>
    <t xml:space="preserve">Bank</t>
  </si>
  <si>
    <t xml:space="preserve">Navigation Path</t>
  </si>
  <si>
    <t xml:space="preserve">Setup Notes</t>
  </si>
  <si>
    <t xml:space="preserve">zelle.com/chase or chase.com → Pay &amp; Transfer → Autopay</t>
  </si>
  <si>
    <t xml:space="preserve">Set up autopay under 'Pay &amp; Transfer' &gt; 'Automatic Payments'. Use Zelle for P2P.</t>
  </si>
  <si>
    <t xml:space="preserve">Bank of America</t>
  </si>
  <si>
    <t xml:space="preserve">bankofamerica.com → Bill Pay → Add Payee → Schedule</t>
  </si>
  <si>
    <t xml:space="preserve">Navigate to Bill Pay tab. Add payee, enter account details, set recurring schedule.</t>
  </si>
  <si>
    <t xml:space="preserve">Wells Fargo</t>
  </si>
  <si>
    <t xml:space="preserve">wellsfargo.com → Transfer &amp; Pay → Bill Pay</t>
  </si>
  <si>
    <t xml:space="preserve">Use Transfer &amp; Pay &gt; Pay Bills. Set up recurring payments. Enable low-balance alerts.</t>
  </si>
  <si>
    <t xml:space="preserve">Citi</t>
  </si>
  <si>
    <t xml:space="preserve">online.citi.com → Payments → Bill Pay → Auto Pay</t>
  </si>
  <si>
    <t xml:space="preserve">Go to Payments tab &gt; Bill Pay. Select Auto Pay for credit cards to avoid late fees.</t>
  </si>
  <si>
    <t xml:space="preserve">Capital One</t>
  </si>
  <si>
    <t xml:space="preserve">capitalone.com → Payments → Set Up AutoPay</t>
  </si>
  <si>
    <t xml:space="preserve">AutoPay available directly on account page. Choose minimum, statement, or custom amount.</t>
  </si>
  <si>
    <t xml:space="preserve">TD Bank</t>
  </si>
  <si>
    <t xml:space="preserve">tdbank.com → Pay Bills → Automatic Payments</t>
  </si>
  <si>
    <t xml:space="preserve">Log in &gt; Pay Bills section. Add payee and enable recurring. Same-day transfers available.</t>
  </si>
  <si>
    <t xml:space="preserve">Ally</t>
  </si>
  <si>
    <t xml:space="preserve">ally.com → Transfers → Recurring Transfer</t>
  </si>
  <si>
    <t xml:space="preserve">Best HYSA option. Set recurring transfers easily. No fees. Buckets feature for goals.</t>
  </si>
  <si>
    <t xml:space="preserve">Marcus / Goldman</t>
  </si>
  <si>
    <t xml:space="preserve">marcus.com → Transfer → Schedule Recurring</t>
  </si>
  <si>
    <t xml:space="preserve">Great for HYSA. Set pull transfers from checking. No transaction limits on savings.</t>
  </si>
  <si>
    <t xml:space="preserve">USAA</t>
  </si>
  <si>
    <t xml:space="preserve">usaa.com → Payments → Bill Manager → Automatic Payments</t>
  </si>
  <si>
    <t xml:space="preserve">Bill Manager under Payments. Military-focused features. Set pay date relative to due date.</t>
  </si>
  <si>
    <t xml:space="preserve">Discover</t>
  </si>
  <si>
    <t xml:space="preserve">discover.com → Manage Account → AutoPay → Enroll</t>
  </si>
  <si>
    <t xml:space="preserve">AutoPay enrollment under Manage Account. Option to pay full statement balance automatically.</t>
  </si>
  <si>
    <t xml:space="preserve">Tip: Yellow cells on the Setup tab drive your automation math. Update your income there first.</t>
  </si>
  <si>
    <t xml:space="preserve">30-Day Post-Automation Check-In Checklist</t>
  </si>
  <si>
    <t xml:space="preserve">✓</t>
  </si>
  <si>
    <t xml:space="preserve">Check</t>
  </si>
  <si>
    <t xml:space="preserve">What to verify</t>
  </si>
  <si>
    <t xml:space="preserve">Week 1</t>
  </si>
  <si>
    <t xml:space="preserve">First autopayment fired</t>
  </si>
  <si>
    <t xml:space="preserve">Log into bank — confirm the first scheduled bill was paid on time. Check confirmation email.</t>
  </si>
  <si>
    <t xml:space="preserve">No overdraft</t>
  </si>
  <si>
    <t xml:space="preserve">Verify checking balance stayed above $0 after all Week 1 automations fired.</t>
  </si>
  <si>
    <t xml:space="preserve">Week 2</t>
  </si>
  <si>
    <t xml:space="preserve">Savings transfer confirmed</t>
  </si>
  <si>
    <t xml:space="preserve">Check HYSA balance increased by the amount set in Setup!D17.</t>
  </si>
  <si>
    <t xml:space="preserve">Investment contribution hit</t>
  </si>
  <si>
    <t xml:space="preserve">Log into brokerage — confirm the recurring contribution posted.</t>
  </si>
  <si>
    <t xml:space="preserve">Week 3</t>
  </si>
  <si>
    <t xml:space="preserve">No duplicate payments</t>
  </si>
  <si>
    <t xml:space="preserve">Review bank statement — look for any bill paid twice (manual + autopay overlap).</t>
  </si>
  <si>
    <t xml:space="preserve">Credit card not late</t>
  </si>
  <si>
    <t xml:space="preserve">Confirm credit card autopay enrolled and first payment processed.</t>
  </si>
  <si>
    <t xml:space="preserve">Week 4</t>
  </si>
  <si>
    <t xml:space="preserve">All bills accounted for</t>
  </si>
  <si>
    <t xml:space="preserve">Cross-check Bills Tracker — every 'Yes' in autopay column should show on bank statement.</t>
  </si>
  <si>
    <t xml:space="preserve">Low-balance alert active</t>
  </si>
  <si>
    <t xml:space="preserve">Confirm bank text/email alert is set for when checking drops below $500.</t>
  </si>
  <si>
    <t xml:space="preserve">Day 30</t>
  </si>
  <si>
    <t xml:space="preserve">Review automation calendar</t>
  </si>
  <si>
    <t xml:space="preserve">Compare actual payment dates vs calendar — adjust any off by 1-2 days.</t>
  </si>
  <si>
    <t xml:space="preserve">Update Bills Tracker</t>
  </si>
  <si>
    <t xml:space="preserve">Mark any remaining 'No' bills — schedule setup time for next Saturday.</t>
  </si>
  <si>
    <t xml:space="preserve">Update the Status column (yellow) as you complete each check. Common fix: cancel any manual bill payments you forgot to stop.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</si>
</sst>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9FE1C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7F77DD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85041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8"/>
      <color rgb="FF0D1B3E"/>
      <name val="Arial"/>
      <family val="0"/>
      <charset val="1"/>
    </font>
    <font>
      <sz val="8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7F77DD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3E"/>
        <bgColor rgb="FF1A1A1A"/>
      </patternFill>
    </fill>
    <fill>
      <patternFill patternType="solid">
        <fgColor rgb="FF1D9E75"/>
        <bgColor rgb="FF008080"/>
      </patternFill>
    </fill>
    <fill>
      <patternFill patternType="solid">
        <fgColor rgb="FFEEEDFE"/>
        <bgColor rgb="FFE6F1FB"/>
      </patternFill>
    </fill>
    <fill>
      <patternFill patternType="solid">
        <fgColor rgb="FFF5F5F5"/>
        <bgColor rgb="FFEEEDF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1F5E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0000FF"/>
        <bgColor rgb="FF0000FF"/>
      </patternFill>
    </fill>
    <fill>
      <patternFill patternType="solid">
        <fgColor rgb="FFFAEEDA"/>
        <bgColor rgb="FFF5F5F5"/>
      </patternFill>
    </fill>
    <fill>
      <patternFill patternType="solid">
        <fgColor rgb="FF9FE1CB"/>
        <bgColor rgb="FFD3D1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8522"/>
      <rgbColor rgb="FF800080"/>
      <rgbColor rgb="FF085041"/>
      <rgbColor rgb="FFD3D1C7"/>
      <rgbColor rgb="FF888888"/>
      <rgbColor rgb="FF7F77DD"/>
      <rgbColor rgb="FF993366"/>
      <rgbColor rgb="FFFAEEDA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FFF99"/>
      <rgbColor rgb="FF9FE1C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A7517"/>
      <rgbColor rgb="FF555555"/>
      <rgbColor rgb="FF969696"/>
      <rgbColor rgb="FF0C447C"/>
      <rgbColor rgb="FF1D9E75"/>
      <rgbColor rgb="FF0D1B3E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3E"/>
    <pageSetUpPr fitToPage="false"/>
  </sheetPr>
  <dimension ref="B1:E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5" min="4" style="1" width="22"/>
    <col collapsed="false" customWidth="true" hidden="false" outlineLevel="0" max="6" min="6" style="1" width="3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2" t="s">
        <v>0</v>
      </c>
      <c r="C2" s="2"/>
      <c r="D2" s="2"/>
      <c r="E2" s="2"/>
    </row>
    <row r="3" customFormat="false" ht="21.75" hidden="false" customHeight="true" outlineLevel="0" collapsed="false">
      <c r="B3" s="3" t="s">
        <v>1</v>
      </c>
      <c r="C3" s="3"/>
      <c r="D3" s="3"/>
      <c r="E3" s="3"/>
    </row>
    <row r="4" customFormat="false" ht="13.5" hidden="false" customHeight="true" outlineLevel="0" collapsed="false"/>
    <row r="5" customFormat="false" ht="27.75" hidden="false" customHeight="true" outlineLevel="0" collapsed="false">
      <c r="B5" s="4" t="s">
        <v>2</v>
      </c>
      <c r="C5" s="4"/>
      <c r="D5" s="4"/>
      <c r="E5" s="4"/>
    </row>
    <row r="6" customFormat="false" ht="15.75" hidden="false" customHeight="true" outlineLevel="0" collapsed="false"/>
    <row r="7" customFormat="false" ht="25.5" hidden="false" customHeight="true" outlineLevel="0" collapsed="false">
      <c r="B7" s="5" t="s">
        <v>3</v>
      </c>
      <c r="C7" s="6" t="s">
        <v>4</v>
      </c>
      <c r="D7" s="7" t="s">
        <v>5</v>
      </c>
      <c r="E7" s="8" t="s">
        <v>6</v>
      </c>
    </row>
    <row r="8" customFormat="false" ht="25.5" hidden="false" customHeight="true" outlineLevel="0" collapsed="false">
      <c r="B8" s="5" t="s">
        <v>7</v>
      </c>
      <c r="C8" s="6" t="s">
        <v>8</v>
      </c>
      <c r="D8" s="7" t="n">
        <v>5000</v>
      </c>
      <c r="E8" s="8" t="s">
        <v>9</v>
      </c>
    </row>
    <row r="9" customFormat="false" ht="25.5" hidden="false" customHeight="true" outlineLevel="0" collapsed="false">
      <c r="B9" s="5" t="s">
        <v>10</v>
      </c>
      <c r="C9" s="6" t="s">
        <v>11</v>
      </c>
      <c r="D9" s="7" t="s">
        <v>12</v>
      </c>
      <c r="E9" s="8" t="s">
        <v>13</v>
      </c>
    </row>
    <row r="10" customFormat="false" ht="25.5" hidden="false" customHeight="true" outlineLevel="0" collapsed="false">
      <c r="B10" s="5" t="s">
        <v>14</v>
      </c>
      <c r="C10" s="6" t="s">
        <v>15</v>
      </c>
      <c r="D10" s="7" t="s">
        <v>16</v>
      </c>
      <c r="E10" s="8" t="s">
        <v>17</v>
      </c>
    </row>
    <row r="11" customFormat="false" ht="25.5" hidden="false" customHeight="true" outlineLevel="0" collapsed="false">
      <c r="B11" s="5" t="s">
        <v>18</v>
      </c>
      <c r="C11" s="6" t="s">
        <v>19</v>
      </c>
      <c r="D11" s="7" t="s">
        <v>20</v>
      </c>
      <c r="E11" s="8" t="s">
        <v>21</v>
      </c>
    </row>
    <row r="12" customFormat="false" ht="25.5" hidden="false" customHeight="true" outlineLevel="0" collapsed="false">
      <c r="B12" s="5" t="s">
        <v>22</v>
      </c>
      <c r="C12" s="6" t="s">
        <v>23</v>
      </c>
      <c r="D12" s="7" t="s">
        <v>24</v>
      </c>
      <c r="E12" s="8" t="s">
        <v>25</v>
      </c>
    </row>
    <row r="13" customFormat="false" ht="18" hidden="false" customHeight="true" outlineLevel="0" collapsed="false"/>
    <row r="14" customFormat="false" ht="25.5" hidden="false" customHeight="true" outlineLevel="0" collapsed="false">
      <c r="B14" s="9" t="s">
        <v>26</v>
      </c>
      <c r="C14" s="9"/>
      <c r="D14" s="9"/>
      <c r="E14" s="9"/>
    </row>
    <row r="15" customFormat="false" ht="24" hidden="false" customHeight="true" outlineLevel="0" collapsed="false">
      <c r="B15" s="10"/>
      <c r="C15" s="6" t="s">
        <v>27</v>
      </c>
      <c r="D15" s="11" t="n">
        <f aca="false">IF(D8="",0,D8)</f>
        <v>5000</v>
      </c>
      <c r="E15" s="10"/>
    </row>
    <row r="16" customFormat="false" ht="24" hidden="false" customHeight="true" outlineLevel="0" collapsed="false">
      <c r="B16" s="10"/>
      <c r="C16" s="6" t="s">
        <v>28</v>
      </c>
      <c r="D16" s="11" t="n">
        <f aca="false">IF(D15=0,"-",D15*0.1)</f>
        <v>500</v>
      </c>
      <c r="E16" s="10"/>
    </row>
    <row r="17" customFormat="false" ht="24" hidden="false" customHeight="true" outlineLevel="0" collapsed="false">
      <c r="B17" s="10"/>
      <c r="C17" s="6" t="s">
        <v>29</v>
      </c>
      <c r="D17" s="11" t="n">
        <f aca="false">IF(D15=0,"-",D15*0.2)</f>
        <v>1000</v>
      </c>
      <c r="E17" s="10"/>
    </row>
    <row r="18" customFormat="false" ht="24" hidden="false" customHeight="true" outlineLevel="0" collapsed="false">
      <c r="B18" s="10"/>
      <c r="C18" s="6" t="s">
        <v>30</v>
      </c>
      <c r="D18" s="11" t="n">
        <f aca="false">IF(D15=0,"-",D15*0.05)</f>
        <v>250</v>
      </c>
      <c r="E18" s="10"/>
    </row>
    <row r="19" customFormat="false" ht="24" hidden="false" customHeight="true" outlineLevel="0" collapsed="false">
      <c r="B19" s="10"/>
      <c r="C19" s="6" t="s">
        <v>31</v>
      </c>
      <c r="D19" s="11" t="n">
        <f aca="false">IF(D15=0,"-",D15*0.5)</f>
        <v>2500</v>
      </c>
      <c r="E19" s="10"/>
    </row>
    <row r="20" customFormat="false" ht="24" hidden="false" customHeight="true" outlineLevel="0" collapsed="false">
      <c r="B20" s="10"/>
      <c r="C20" s="6" t="s">
        <v>32</v>
      </c>
      <c r="D20" s="11" t="n">
        <f aca="false">IF(D15=0,"-",D15-D17-D18-D19)</f>
        <v>1250</v>
      </c>
      <c r="E20" s="10"/>
    </row>
    <row r="21" customFormat="false" ht="13.5" hidden="false" customHeight="true" outlineLevel="0" collapsed="false"/>
    <row r="22" customFormat="false" ht="15" hidden="false" customHeight="true" outlineLevel="0" collapsed="false">
      <c r="B22" s="12" t="s">
        <v>33</v>
      </c>
      <c r="C22" s="12"/>
      <c r="D22" s="12"/>
      <c r="E22" s="12"/>
    </row>
    <row r="23" customFormat="false" ht="7.5" hidden="false" customHeight="true" outlineLevel="0" collapsed="false"/>
    <row r="24" customFormat="false" ht="7.5" hidden="false" customHeight="true" outlineLevel="0" collapsed="false"/>
    <row r="25" customFormat="false" ht="30" hidden="false" customHeight="true" outlineLevel="0" collapsed="false">
      <c r="B25" s="13" t="s">
        <v>34</v>
      </c>
      <c r="C25" s="13"/>
      <c r="D25" s="13"/>
      <c r="E25" s="13"/>
    </row>
    <row r="26" customFormat="false" ht="39.75" hidden="false" customHeight="true" outlineLevel="0" collapsed="false">
      <c r="B26" s="14" t="s">
        <v>35</v>
      </c>
      <c r="C26" s="14"/>
      <c r="D26" s="14"/>
      <c r="E26" s="14"/>
    </row>
    <row r="27" customFormat="false" ht="9.75" hidden="false" customHeight="true" outlineLevel="0" collapsed="false"/>
    <row r="28" customFormat="false" ht="27.75" hidden="false" customHeight="true" outlineLevel="0" collapsed="false">
      <c r="B28" s="15" t="s">
        <v>36</v>
      </c>
      <c r="C28" s="16" t="s">
        <v>37</v>
      </c>
      <c r="D28" s="16"/>
      <c r="E28" s="16"/>
    </row>
    <row r="29" customFormat="false" ht="21.75" hidden="false" customHeight="true" outlineLevel="0" collapsed="false">
      <c r="B29" s="17" t="s">
        <v>38</v>
      </c>
      <c r="C29" s="14" t="s">
        <v>39</v>
      </c>
      <c r="D29" s="14"/>
      <c r="E29" s="14"/>
    </row>
    <row r="30" customFormat="false" ht="21.75" hidden="false" customHeight="true" outlineLevel="0" collapsed="false">
      <c r="B30" s="17" t="s">
        <v>38</v>
      </c>
      <c r="C30" s="14" t="s">
        <v>40</v>
      </c>
      <c r="D30" s="14"/>
      <c r="E30" s="14"/>
    </row>
    <row r="31" customFormat="false" ht="21.75" hidden="false" customHeight="true" outlineLevel="0" collapsed="false">
      <c r="B31" s="17" t="s">
        <v>38</v>
      </c>
      <c r="C31" s="14" t="s">
        <v>41</v>
      </c>
      <c r="D31" s="14"/>
      <c r="E31" s="14"/>
    </row>
    <row r="32" customFormat="false" ht="21.75" hidden="false" customHeight="true" outlineLevel="0" collapsed="false">
      <c r="B32" s="17" t="s">
        <v>38</v>
      </c>
      <c r="C32" s="14" t="s">
        <v>42</v>
      </c>
      <c r="D32" s="14"/>
      <c r="E32" s="14"/>
    </row>
    <row r="33" customFormat="false" ht="21.75" hidden="false" customHeight="true" outlineLevel="0" collapsed="false">
      <c r="B33" s="17" t="s">
        <v>38</v>
      </c>
      <c r="C33" s="14" t="s">
        <v>43</v>
      </c>
      <c r="D33" s="14"/>
      <c r="E33" s="14"/>
    </row>
    <row r="34" customFormat="false" ht="6" hidden="false" customHeight="true" outlineLevel="0" collapsed="false"/>
    <row r="35" customFormat="false" ht="27.75" hidden="false" customHeight="true" outlineLevel="0" collapsed="false">
      <c r="B35" s="9" t="s">
        <v>44</v>
      </c>
      <c r="C35" s="18" t="s">
        <v>45</v>
      </c>
      <c r="D35" s="18"/>
      <c r="E35" s="18"/>
    </row>
    <row r="36" customFormat="false" ht="21.75" hidden="false" customHeight="true" outlineLevel="0" collapsed="false">
      <c r="B36" s="19" t="s">
        <v>38</v>
      </c>
      <c r="C36" s="20" t="s">
        <v>46</v>
      </c>
      <c r="D36" s="20"/>
      <c r="E36" s="20"/>
    </row>
    <row r="37" customFormat="false" ht="21.75" hidden="false" customHeight="true" outlineLevel="0" collapsed="false">
      <c r="B37" s="19" t="s">
        <v>38</v>
      </c>
      <c r="C37" s="20" t="s">
        <v>47</v>
      </c>
      <c r="D37" s="20"/>
      <c r="E37" s="20"/>
    </row>
    <row r="38" customFormat="false" ht="21.75" hidden="false" customHeight="true" outlineLevel="0" collapsed="false">
      <c r="B38" s="19" t="s">
        <v>38</v>
      </c>
      <c r="C38" s="20" t="s">
        <v>48</v>
      </c>
      <c r="D38" s="20"/>
      <c r="E38" s="20"/>
    </row>
    <row r="39" customFormat="false" ht="21.75" hidden="false" customHeight="true" outlineLevel="0" collapsed="false">
      <c r="B39" s="19" t="s">
        <v>38</v>
      </c>
      <c r="C39" s="20" t="s">
        <v>49</v>
      </c>
      <c r="D39" s="20"/>
      <c r="E39" s="20"/>
    </row>
    <row r="40" customFormat="false" ht="21.75" hidden="false" customHeight="true" outlineLevel="0" collapsed="false">
      <c r="B40" s="19" t="s">
        <v>38</v>
      </c>
      <c r="C40" s="20" t="s">
        <v>50</v>
      </c>
      <c r="D40" s="20"/>
      <c r="E40" s="20"/>
    </row>
    <row r="41" customFormat="false" ht="6" hidden="false" customHeight="true" outlineLevel="0" collapsed="false"/>
    <row r="42" customFormat="false" ht="27.75" hidden="false" customHeight="true" outlineLevel="0" collapsed="false">
      <c r="B42" s="15" t="s">
        <v>51</v>
      </c>
      <c r="C42" s="16" t="s">
        <v>52</v>
      </c>
      <c r="D42" s="16"/>
      <c r="E42" s="16"/>
    </row>
    <row r="43" customFormat="false" ht="21.75" hidden="false" customHeight="true" outlineLevel="0" collapsed="false">
      <c r="B43" s="17" t="s">
        <v>38</v>
      </c>
      <c r="C43" s="14" t="s">
        <v>53</v>
      </c>
      <c r="D43" s="14"/>
      <c r="E43" s="14"/>
    </row>
    <row r="44" customFormat="false" ht="21.75" hidden="false" customHeight="true" outlineLevel="0" collapsed="false">
      <c r="B44" s="17" t="s">
        <v>38</v>
      </c>
      <c r="C44" s="14" t="s">
        <v>54</v>
      </c>
      <c r="D44" s="14"/>
      <c r="E44" s="14"/>
    </row>
    <row r="45" customFormat="false" ht="21.75" hidden="false" customHeight="true" outlineLevel="0" collapsed="false">
      <c r="B45" s="17" t="s">
        <v>38</v>
      </c>
      <c r="C45" s="14" t="s">
        <v>55</v>
      </c>
      <c r="D45" s="14"/>
      <c r="E45" s="14"/>
    </row>
    <row r="46" customFormat="false" ht="21.75" hidden="false" customHeight="true" outlineLevel="0" collapsed="false">
      <c r="B46" s="17" t="s">
        <v>38</v>
      </c>
      <c r="C46" s="14" t="s">
        <v>56</v>
      </c>
      <c r="D46" s="14"/>
      <c r="E46" s="14"/>
    </row>
    <row r="47" customFormat="false" ht="21.75" hidden="false" customHeight="true" outlineLevel="0" collapsed="false">
      <c r="B47" s="17" t="s">
        <v>38</v>
      </c>
      <c r="C47" s="14" t="s">
        <v>57</v>
      </c>
      <c r="D47" s="14"/>
      <c r="E47" s="14"/>
    </row>
    <row r="48" customFormat="false" ht="6" hidden="false" customHeight="true" outlineLevel="0" collapsed="false"/>
    <row r="49" customFormat="false" ht="27.75" hidden="false" customHeight="true" outlineLevel="0" collapsed="false">
      <c r="B49" s="9" t="s">
        <v>58</v>
      </c>
      <c r="C49" s="18" t="s">
        <v>59</v>
      </c>
      <c r="D49" s="18"/>
      <c r="E49" s="18"/>
    </row>
    <row r="50" customFormat="false" ht="21.75" hidden="false" customHeight="true" outlineLevel="0" collapsed="false">
      <c r="B50" s="19" t="s">
        <v>38</v>
      </c>
      <c r="C50" s="20" t="s">
        <v>60</v>
      </c>
      <c r="D50" s="20"/>
      <c r="E50" s="20"/>
    </row>
    <row r="51" customFormat="false" ht="21.75" hidden="false" customHeight="true" outlineLevel="0" collapsed="false">
      <c r="B51" s="19" t="s">
        <v>38</v>
      </c>
      <c r="C51" s="20" t="s">
        <v>61</v>
      </c>
      <c r="D51" s="20"/>
      <c r="E51" s="20"/>
    </row>
    <row r="52" customFormat="false" ht="21.75" hidden="false" customHeight="true" outlineLevel="0" collapsed="false">
      <c r="B52" s="19" t="s">
        <v>38</v>
      </c>
      <c r="C52" s="20" t="s">
        <v>62</v>
      </c>
      <c r="D52" s="20"/>
      <c r="E52" s="20"/>
    </row>
    <row r="53" customFormat="false" ht="21.75" hidden="false" customHeight="true" outlineLevel="0" collapsed="false">
      <c r="B53" s="19" t="s">
        <v>38</v>
      </c>
      <c r="C53" s="20" t="s">
        <v>63</v>
      </c>
      <c r="D53" s="20"/>
      <c r="E53" s="20"/>
    </row>
    <row r="54" customFormat="false" ht="21.75" hidden="false" customHeight="true" outlineLevel="0" collapsed="false">
      <c r="B54" s="19" t="s">
        <v>38</v>
      </c>
      <c r="C54" s="20" t="s">
        <v>64</v>
      </c>
      <c r="D54" s="20"/>
      <c r="E54" s="20"/>
    </row>
    <row r="55" customFormat="false" ht="6" hidden="false" customHeight="true" outlineLevel="0" collapsed="false"/>
    <row r="56" customFormat="false" ht="9.75" hidden="false" customHeight="true" outlineLevel="0" collapsed="false"/>
    <row r="57" customFormat="false" ht="27.75" hidden="false" customHeight="true" outlineLevel="0" collapsed="false">
      <c r="B57" s="9" t="s">
        <v>65</v>
      </c>
      <c r="C57" s="9"/>
      <c r="D57" s="9"/>
      <c r="E57" s="9"/>
    </row>
    <row r="58" customFormat="false" ht="21.75" hidden="false" customHeight="true" outlineLevel="0" collapsed="false">
      <c r="B58" s="21" t="s">
        <v>66</v>
      </c>
      <c r="C58" s="22" t="s">
        <v>67</v>
      </c>
      <c r="D58" s="22"/>
      <c r="E58" s="22"/>
    </row>
    <row r="59" customFormat="false" ht="21.75" hidden="false" customHeight="true" outlineLevel="0" collapsed="false">
      <c r="B59" s="23" t="s">
        <v>68</v>
      </c>
      <c r="C59" s="22" t="s">
        <v>69</v>
      </c>
      <c r="D59" s="22"/>
      <c r="E59" s="22"/>
    </row>
    <row r="60" customFormat="false" ht="21.75" hidden="false" customHeight="true" outlineLevel="0" collapsed="false">
      <c r="B60" s="24" t="s">
        <v>70</v>
      </c>
      <c r="C60" s="22" t="s">
        <v>71</v>
      </c>
      <c r="D60" s="22"/>
      <c r="E60" s="22"/>
    </row>
    <row r="61" customFormat="false" ht="21.75" hidden="false" customHeight="true" outlineLevel="0" collapsed="false">
      <c r="B61" s="25" t="s">
        <v>72</v>
      </c>
      <c r="C61" s="22" t="s">
        <v>73</v>
      </c>
      <c r="D61" s="22"/>
      <c r="E61" s="22"/>
    </row>
    <row r="62" customFormat="false" ht="21.75" hidden="false" customHeight="true" outlineLevel="0" collapsed="false">
      <c r="B62" s="26" t="s">
        <v>74</v>
      </c>
      <c r="C62" s="22" t="s">
        <v>75</v>
      </c>
      <c r="D62" s="22"/>
      <c r="E62" s="22"/>
    </row>
    <row r="63" customFormat="false" ht="21.75" hidden="false" customHeight="true" outlineLevel="0" collapsed="false">
      <c r="B63" s="27" t="s">
        <v>76</v>
      </c>
      <c r="C63" s="22" t="s">
        <v>77</v>
      </c>
      <c r="D63" s="22"/>
      <c r="E63" s="22"/>
    </row>
    <row r="64" customFormat="false" ht="9.75" hidden="false" customHeight="true" outlineLevel="0" collapsed="false"/>
    <row r="65" customFormat="false" ht="27.75" hidden="false" customHeight="true" outlineLevel="0" collapsed="false">
      <c r="B65" s="28" t="s">
        <v>78</v>
      </c>
      <c r="C65" s="28"/>
      <c r="D65" s="28"/>
      <c r="E65" s="28"/>
    </row>
  </sheetData>
  <mergeCells count="39">
    <mergeCell ref="B2:E2"/>
    <mergeCell ref="B3:E3"/>
    <mergeCell ref="B5:E5"/>
    <mergeCell ref="B14:E14"/>
    <mergeCell ref="B22:E22"/>
    <mergeCell ref="B25:E25"/>
    <mergeCell ref="B26:E26"/>
    <mergeCell ref="C28:E28"/>
    <mergeCell ref="C29:E29"/>
    <mergeCell ref="C30:E30"/>
    <mergeCell ref="C31:E31"/>
    <mergeCell ref="C32:E32"/>
    <mergeCell ref="C33:E33"/>
    <mergeCell ref="C35:E35"/>
    <mergeCell ref="C36:E36"/>
    <mergeCell ref="C37:E37"/>
    <mergeCell ref="C38:E38"/>
    <mergeCell ref="C39:E39"/>
    <mergeCell ref="C40:E40"/>
    <mergeCell ref="C42:E42"/>
    <mergeCell ref="C43:E43"/>
    <mergeCell ref="C44:E44"/>
    <mergeCell ref="C45:E45"/>
    <mergeCell ref="C46:E46"/>
    <mergeCell ref="C47:E47"/>
    <mergeCell ref="C49:E49"/>
    <mergeCell ref="C50:E50"/>
    <mergeCell ref="C51:E51"/>
    <mergeCell ref="C52:E52"/>
    <mergeCell ref="C53:E53"/>
    <mergeCell ref="C54:E54"/>
    <mergeCell ref="B57:E57"/>
    <mergeCell ref="C58:E58"/>
    <mergeCell ref="C59:E59"/>
    <mergeCell ref="C60:E60"/>
    <mergeCell ref="C61:E61"/>
    <mergeCell ref="C62:E62"/>
    <mergeCell ref="C63:E63"/>
    <mergeCell ref="B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7" min="6" style="1" width="18"/>
    <col collapsed="false" customWidth="true" hidden="false" outlineLevel="0" max="8" min="8" style="1" width="16"/>
    <col collapsed="false" customWidth="true" hidden="false" outlineLevel="0" max="9" min="9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9" t="s">
        <v>79</v>
      </c>
      <c r="C2" s="29"/>
      <c r="D2" s="29"/>
      <c r="E2" s="29"/>
      <c r="F2" s="29"/>
      <c r="G2" s="29"/>
      <c r="H2" s="29"/>
    </row>
    <row r="3" customFormat="false" ht="13.5" hidden="false" customHeight="true" outlineLevel="0" collapsed="false"/>
    <row r="4" customFormat="false" ht="27.75" hidden="false" customHeight="tru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86</v>
      </c>
    </row>
    <row r="5" customFormat="false" ht="24" hidden="false" customHeight="true" outlineLevel="0" collapsed="false">
      <c r="B5" s="6" t="s">
        <v>87</v>
      </c>
      <c r="C5" s="30" t="n">
        <v>1500</v>
      </c>
      <c r="D5" s="31" t="s">
        <v>88</v>
      </c>
      <c r="E5" s="10" t="s">
        <v>89</v>
      </c>
      <c r="F5" s="32" t="s">
        <v>16</v>
      </c>
      <c r="G5" s="10" t="s">
        <v>90</v>
      </c>
      <c r="H5" s="10"/>
    </row>
    <row r="6" customFormat="false" ht="24" hidden="false" customHeight="true" outlineLevel="0" collapsed="false">
      <c r="B6" s="6" t="s">
        <v>91</v>
      </c>
      <c r="C6" s="30" t="n">
        <v>85</v>
      </c>
      <c r="D6" s="31" t="s">
        <v>92</v>
      </c>
      <c r="E6" s="10" t="s">
        <v>89</v>
      </c>
      <c r="F6" s="32" t="s">
        <v>93</v>
      </c>
      <c r="G6" s="10"/>
      <c r="H6" s="10" t="s">
        <v>94</v>
      </c>
    </row>
    <row r="7" customFormat="false" ht="24" hidden="false" customHeight="true" outlineLevel="0" collapsed="false">
      <c r="B7" s="6" t="s">
        <v>95</v>
      </c>
      <c r="C7" s="30" t="n">
        <v>60</v>
      </c>
      <c r="D7" s="31" t="s">
        <v>96</v>
      </c>
      <c r="E7" s="10" t="s">
        <v>89</v>
      </c>
      <c r="F7" s="32" t="s">
        <v>16</v>
      </c>
      <c r="G7" s="10" t="s">
        <v>97</v>
      </c>
      <c r="H7" s="10"/>
    </row>
    <row r="8" customFormat="false" ht="24" hidden="false" customHeight="true" outlineLevel="0" collapsed="false">
      <c r="B8" s="6" t="s">
        <v>98</v>
      </c>
      <c r="C8" s="30" t="n">
        <v>250</v>
      </c>
      <c r="D8" s="31" t="s">
        <v>99</v>
      </c>
      <c r="E8" s="10" t="s">
        <v>89</v>
      </c>
      <c r="F8" s="32" t="s">
        <v>93</v>
      </c>
      <c r="G8" s="10"/>
      <c r="H8" s="10" t="s">
        <v>100</v>
      </c>
    </row>
    <row r="9" customFormat="false" ht="24" hidden="false" customHeight="true" outlineLevel="0" collapsed="false">
      <c r="B9" s="6" t="s">
        <v>101</v>
      </c>
      <c r="C9" s="30" t="n">
        <v>130</v>
      </c>
      <c r="D9" s="31" t="s">
        <v>88</v>
      </c>
      <c r="E9" s="10" t="s">
        <v>89</v>
      </c>
      <c r="F9" s="32" t="s">
        <v>93</v>
      </c>
      <c r="G9" s="10"/>
      <c r="H9" s="10"/>
    </row>
    <row r="10" customFormat="false" ht="24" hidden="false" customHeight="true" outlineLevel="0" collapsed="false">
      <c r="B10" s="6" t="s">
        <v>102</v>
      </c>
      <c r="C10" s="30" t="n">
        <v>18</v>
      </c>
      <c r="D10" s="31" t="s">
        <v>103</v>
      </c>
      <c r="E10" s="10" t="s">
        <v>89</v>
      </c>
      <c r="F10" s="32" t="s">
        <v>16</v>
      </c>
      <c r="G10" s="10" t="s">
        <v>97</v>
      </c>
      <c r="H10" s="10"/>
    </row>
    <row r="11" customFormat="false" ht="24" hidden="false" customHeight="true" outlineLevel="0" collapsed="false">
      <c r="B11" s="6" t="s">
        <v>104</v>
      </c>
      <c r="C11" s="30" t="n">
        <v>40</v>
      </c>
      <c r="D11" s="31" t="s">
        <v>88</v>
      </c>
      <c r="E11" s="10" t="s">
        <v>89</v>
      </c>
      <c r="F11" s="32" t="s">
        <v>93</v>
      </c>
      <c r="G11" s="10"/>
      <c r="H11" s="10"/>
    </row>
    <row r="12" customFormat="false" ht="24" hidden="false" customHeight="true" outlineLevel="0" collapsed="false">
      <c r="B12" s="6" t="s">
        <v>105</v>
      </c>
      <c r="C12" s="30" t="n">
        <v>200</v>
      </c>
      <c r="D12" s="31" t="s">
        <v>106</v>
      </c>
      <c r="E12" s="10" t="s">
        <v>89</v>
      </c>
      <c r="F12" s="32" t="s">
        <v>93</v>
      </c>
      <c r="G12" s="10"/>
      <c r="H12" s="10"/>
    </row>
    <row r="13" customFormat="false" ht="24" hidden="false" customHeight="true" outlineLevel="0" collapsed="false">
      <c r="B13" s="6" t="s">
        <v>107</v>
      </c>
      <c r="C13" s="30" t="n">
        <v>75</v>
      </c>
      <c r="D13" s="31" t="s">
        <v>108</v>
      </c>
      <c r="E13" s="10" t="s">
        <v>89</v>
      </c>
      <c r="F13" s="32" t="s">
        <v>16</v>
      </c>
      <c r="G13" s="10" t="s">
        <v>109</v>
      </c>
      <c r="H13" s="10"/>
    </row>
    <row r="14" customFormat="false" ht="24" hidden="false" customHeight="true" outlineLevel="0" collapsed="false">
      <c r="B14" s="6" t="s">
        <v>110</v>
      </c>
      <c r="C14" s="30" t="n">
        <v>0</v>
      </c>
      <c r="D14" s="31"/>
      <c r="E14" s="10"/>
      <c r="F14" s="32"/>
      <c r="G14" s="10"/>
      <c r="H14" s="10"/>
    </row>
    <row r="15" customFormat="false" ht="25.5" hidden="false" customHeight="true" outlineLevel="0" collapsed="false">
      <c r="B15" s="18" t="s">
        <v>111</v>
      </c>
      <c r="C15" s="33" t="n">
        <f aca="false">SUM(C5:C14)</f>
        <v>2358</v>
      </c>
      <c r="D15" s="34"/>
      <c r="E15" s="34"/>
      <c r="F15" s="34"/>
      <c r="G15" s="34"/>
      <c r="H15" s="34"/>
    </row>
    <row r="17" customFormat="false" ht="24" hidden="false" customHeight="true" outlineLevel="0" collapsed="false">
      <c r="B17" s="15" t="s">
        <v>112</v>
      </c>
      <c r="C17" s="15"/>
      <c r="D17" s="15"/>
      <c r="E17" s="15"/>
      <c r="F17" s="15"/>
      <c r="G17" s="15"/>
      <c r="H17" s="15"/>
    </row>
    <row r="18" customFormat="false" ht="21.75" hidden="false" customHeight="true" outlineLevel="0" collapsed="false">
      <c r="B18" s="35" t="s">
        <v>113</v>
      </c>
      <c r="C18" s="17" t="n">
        <f aca="false">COUNTIF(F5:F14,"Yes")</f>
        <v>4</v>
      </c>
      <c r="D18" s="36" t="s">
        <v>114</v>
      </c>
      <c r="E18" s="27" t="n">
        <f aca="false">COUNTIF(F5:F14,"No")</f>
        <v>5</v>
      </c>
    </row>
  </sheetData>
  <mergeCells count="2">
    <mergeCell ref="B2:H2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6" min="4" style="1" width="18"/>
    <col collapsed="false" customWidth="true" hidden="false" outlineLevel="0" max="7" min="7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9" t="s">
        <v>115</v>
      </c>
      <c r="C2" s="29"/>
      <c r="D2" s="29"/>
      <c r="E2" s="29"/>
      <c r="F2" s="29"/>
    </row>
    <row r="3" customFormat="false" ht="13.5" hidden="false" customHeight="true" outlineLevel="0" collapsed="false"/>
    <row r="4" customFormat="false" ht="15" hidden="false" customHeight="true" outlineLevel="0" collapsed="false">
      <c r="B4" s="37" t="s">
        <v>116</v>
      </c>
      <c r="C4" s="37"/>
      <c r="D4" s="37"/>
      <c r="E4" s="37"/>
      <c r="F4" s="37"/>
    </row>
    <row r="5" customFormat="false" ht="27.75" hidden="false" customHeight="true" outlineLevel="0" collapsed="false">
      <c r="B5" s="38" t="s">
        <v>117</v>
      </c>
      <c r="C5" s="39" t="s">
        <v>118</v>
      </c>
      <c r="D5" s="39"/>
      <c r="E5" s="39"/>
    </row>
    <row r="6" customFormat="false" ht="27.75" hidden="false" customHeight="true" outlineLevel="0" collapsed="false">
      <c r="B6" s="40" t="s">
        <v>119</v>
      </c>
      <c r="C6" s="39" t="s">
        <v>120</v>
      </c>
      <c r="D6" s="39"/>
      <c r="E6" s="39"/>
    </row>
    <row r="7" customFormat="false" ht="27.75" hidden="false" customHeight="true" outlineLevel="0" collapsed="false">
      <c r="B7" s="41" t="s">
        <v>121</v>
      </c>
      <c r="C7" s="39" t="s">
        <v>122</v>
      </c>
      <c r="D7" s="39"/>
      <c r="E7" s="39"/>
    </row>
    <row r="8" customFormat="false" ht="27.75" hidden="false" customHeight="true" outlineLevel="0" collapsed="false">
      <c r="B8" s="42" t="s">
        <v>123</v>
      </c>
      <c r="C8" s="39" t="s">
        <v>124</v>
      </c>
      <c r="D8" s="39"/>
      <c r="E8" s="39"/>
    </row>
    <row r="9" customFormat="false" ht="13.5" hidden="false" customHeight="true" outlineLevel="0" collapsed="false"/>
    <row r="10" customFormat="false" ht="25.5" hidden="false" customHeight="true" outlineLevel="0" collapsed="false">
      <c r="B10" s="37" t="s">
        <v>125</v>
      </c>
      <c r="C10" s="37"/>
      <c r="D10" s="37"/>
      <c r="E10" s="37"/>
      <c r="F10" s="37"/>
    </row>
    <row r="11" customFormat="false" ht="25.5" hidden="false" customHeight="true" outlineLevel="0" collapsed="false">
      <c r="B11" s="9" t="s">
        <v>126</v>
      </c>
      <c r="C11" s="9" t="s">
        <v>127</v>
      </c>
      <c r="D11" s="9" t="s">
        <v>128</v>
      </c>
      <c r="E11" s="9" t="s">
        <v>129</v>
      </c>
      <c r="F11" s="9" t="s">
        <v>130</v>
      </c>
    </row>
    <row r="12" customFormat="false" ht="25.5" hidden="false" customHeight="true" outlineLevel="0" collapsed="false">
      <c r="B12" s="10" t="s">
        <v>131</v>
      </c>
      <c r="C12" s="10" t="s">
        <v>132</v>
      </c>
      <c r="D12" s="43" t="n">
        <f aca="false">Setup!D17</f>
        <v>1000</v>
      </c>
      <c r="E12" s="32" t="s">
        <v>133</v>
      </c>
      <c r="F12" s="10" t="s">
        <v>134</v>
      </c>
    </row>
    <row r="13" customFormat="false" ht="25.5" hidden="false" customHeight="true" outlineLevel="0" collapsed="false">
      <c r="B13" s="10" t="s">
        <v>135</v>
      </c>
      <c r="C13" s="10" t="s">
        <v>136</v>
      </c>
      <c r="D13" s="43" t="n">
        <f aca="false">Setup!D18</f>
        <v>250</v>
      </c>
      <c r="E13" s="32" t="s">
        <v>137</v>
      </c>
      <c r="F13" s="10" t="s">
        <v>134</v>
      </c>
    </row>
    <row r="14" customFormat="false" ht="25.5" hidden="false" customHeight="true" outlineLevel="0" collapsed="false">
      <c r="B14" s="10" t="s">
        <v>138</v>
      </c>
      <c r="C14" s="10" t="s">
        <v>139</v>
      </c>
      <c r="D14" s="43" t="n">
        <f aca="false">Setup!D19</f>
        <v>2500</v>
      </c>
      <c r="E14" s="32" t="s">
        <v>140</v>
      </c>
      <c r="F14" s="10" t="s">
        <v>141</v>
      </c>
    </row>
    <row r="15" customFormat="false" ht="25.5" hidden="false" customHeight="true" outlineLevel="0" collapsed="false">
      <c r="B15" s="10" t="s">
        <v>142</v>
      </c>
      <c r="C15" s="10" t="s">
        <v>132</v>
      </c>
      <c r="D15" s="43" t="n">
        <f aca="false">Setup!D16</f>
        <v>500</v>
      </c>
      <c r="E15" s="32" t="s">
        <v>143</v>
      </c>
      <c r="F15" s="10" t="s">
        <v>144</v>
      </c>
    </row>
    <row r="16" customFormat="false" ht="13.5" hidden="false" customHeight="true" outlineLevel="0" collapsed="false"/>
    <row r="17" customFormat="false" ht="15" hidden="false" customHeight="true" outlineLevel="0" collapsed="false">
      <c r="B17" s="4" t="s">
        <v>145</v>
      </c>
      <c r="C17" s="4"/>
      <c r="D17" s="4"/>
      <c r="E17" s="4"/>
      <c r="F17" s="4"/>
    </row>
    <row r="18" customFormat="false" ht="24" hidden="false" customHeight="true" outlineLevel="0" collapsed="false">
      <c r="B18" s="6" t="s">
        <v>146</v>
      </c>
      <c r="C18" s="44" t="n">
        <f aca="false">Setup!D15</f>
        <v>5000</v>
      </c>
      <c r="D18" s="45"/>
      <c r="E18" s="45"/>
      <c r="F18" s="45"/>
    </row>
    <row r="19" customFormat="false" ht="24" hidden="false" customHeight="true" outlineLevel="0" collapsed="false">
      <c r="B19" s="6" t="s">
        <v>147</v>
      </c>
      <c r="C19" s="44" t="n">
        <f aca="false">'Bills Tracker'!C14</f>
        <v>0</v>
      </c>
      <c r="D19" s="45"/>
      <c r="E19" s="45"/>
      <c r="F19" s="45"/>
    </row>
    <row r="20" customFormat="false" ht="24" hidden="false" customHeight="true" outlineLevel="0" collapsed="false">
      <c r="B20" s="6" t="s">
        <v>148</v>
      </c>
      <c r="C20" s="44" t="n">
        <f aca="false">Setup!D17</f>
        <v>1000</v>
      </c>
      <c r="D20" s="45"/>
      <c r="E20" s="45"/>
      <c r="F20" s="45"/>
    </row>
    <row r="21" customFormat="false" ht="24" hidden="false" customHeight="true" outlineLevel="0" collapsed="false">
      <c r="B21" s="6" t="s">
        <v>135</v>
      </c>
      <c r="C21" s="44" t="n">
        <f aca="false">Setup!D18</f>
        <v>250</v>
      </c>
      <c r="D21" s="45"/>
      <c r="E21" s="45"/>
      <c r="F21" s="45"/>
    </row>
    <row r="22" customFormat="false" ht="24" hidden="false" customHeight="true" outlineLevel="0" collapsed="false">
      <c r="B22" s="6" t="s">
        <v>149</v>
      </c>
      <c r="C22" s="11" t="n">
        <f aca="false">Setup!D20</f>
        <v>1250</v>
      </c>
      <c r="D22" s="45"/>
      <c r="E22" s="45"/>
      <c r="F22" s="45"/>
    </row>
  </sheetData>
  <mergeCells count="13">
    <mergeCell ref="B2:F2"/>
    <mergeCell ref="B4:F4"/>
    <mergeCell ref="C5:E5"/>
    <mergeCell ref="C6:E6"/>
    <mergeCell ref="C7:E7"/>
    <mergeCell ref="C8:E8"/>
    <mergeCell ref="B10:F10"/>
    <mergeCell ref="B17:F17"/>
    <mergeCell ref="D18:F18"/>
    <mergeCell ref="D19:F19"/>
    <mergeCell ref="D20:F20"/>
    <mergeCell ref="D21:F21"/>
    <mergeCell ref="D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A1:A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2" min="2" style="1" width="5.52"/>
    <col collapsed="false" customWidth="true" hidden="false" outlineLevel="0" max="33" min="33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29" t="s">
        <v>150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customFormat="false" ht="15.75" hidden="false" customHeight="true" outlineLevel="0" collapsed="false"/>
    <row r="4" customFormat="false" ht="24" hidden="false" customHeight="true" outlineLevel="0" collapsed="false">
      <c r="A4" s="46" t="s">
        <v>151</v>
      </c>
      <c r="B4" s="47" t="s">
        <v>152</v>
      </c>
      <c r="C4" s="47" t="s">
        <v>153</v>
      </c>
      <c r="D4" s="47" t="s">
        <v>154</v>
      </c>
      <c r="E4" s="47" t="s">
        <v>155</v>
      </c>
      <c r="F4" s="47" t="s">
        <v>156</v>
      </c>
      <c r="G4" s="47" t="s">
        <v>157</v>
      </c>
      <c r="H4" s="47" t="s">
        <v>158</v>
      </c>
      <c r="I4" s="47" t="s">
        <v>159</v>
      </c>
      <c r="J4" s="47" t="s">
        <v>160</v>
      </c>
      <c r="K4" s="47" t="s">
        <v>161</v>
      </c>
      <c r="L4" s="47" t="s">
        <v>162</v>
      </c>
      <c r="M4" s="47" t="s">
        <v>163</v>
      </c>
      <c r="N4" s="47" t="s">
        <v>164</v>
      </c>
      <c r="O4" s="47" t="s">
        <v>165</v>
      </c>
      <c r="P4" s="47" t="s">
        <v>166</v>
      </c>
      <c r="Q4" s="47" t="s">
        <v>167</v>
      </c>
      <c r="R4" s="47" t="s">
        <v>168</v>
      </c>
      <c r="S4" s="47" t="s">
        <v>169</v>
      </c>
      <c r="T4" s="47" t="s">
        <v>170</v>
      </c>
      <c r="U4" s="47" t="s">
        <v>171</v>
      </c>
      <c r="V4" s="47" t="s">
        <v>172</v>
      </c>
      <c r="W4" s="47" t="s">
        <v>173</v>
      </c>
      <c r="X4" s="47" t="s">
        <v>174</v>
      </c>
      <c r="Y4" s="47" t="s">
        <v>175</v>
      </c>
      <c r="Z4" s="47" t="s">
        <v>176</v>
      </c>
      <c r="AA4" s="47" t="s">
        <v>177</v>
      </c>
      <c r="AB4" s="47" t="s">
        <v>178</v>
      </c>
      <c r="AC4" s="47" t="s">
        <v>179</v>
      </c>
      <c r="AD4" s="47" t="s">
        <v>180</v>
      </c>
      <c r="AE4" s="47" t="s">
        <v>181</v>
      </c>
      <c r="AF4" s="47" t="s">
        <v>182</v>
      </c>
    </row>
    <row r="5" customFormat="false" ht="21.75" hidden="false" customHeight="true" outlineLevel="0" collapsed="false">
      <c r="A5" s="48" t="s">
        <v>183</v>
      </c>
      <c r="B5" s="49" t="s">
        <v>184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49" t="s">
        <v>184</v>
      </c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customFormat="false" ht="21.75" hidden="false" customHeight="true" outlineLevel="0" collapsed="false">
      <c r="A6" s="51" t="s">
        <v>185</v>
      </c>
      <c r="B6" s="50"/>
      <c r="C6" s="52" t="s">
        <v>184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2" t="s">
        <v>184</v>
      </c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</row>
    <row r="7" customFormat="false" ht="21.75" hidden="false" customHeight="true" outlineLevel="0" collapsed="false">
      <c r="A7" s="53" t="s">
        <v>186</v>
      </c>
      <c r="B7" s="50"/>
      <c r="C7" s="50"/>
      <c r="D7" s="54" t="s">
        <v>184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4" t="s">
        <v>184</v>
      </c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customFormat="false" ht="21.75" hidden="false" customHeight="true" outlineLevel="0" collapsed="false">
      <c r="A8" s="55" t="s">
        <v>87</v>
      </c>
      <c r="B8" s="56" t="s">
        <v>184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</row>
    <row r="9" customFormat="false" ht="21.75" hidden="false" customHeight="true" outlineLevel="0" collapsed="false">
      <c r="A9" s="57" t="s">
        <v>91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 t="s">
        <v>184</v>
      </c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</row>
    <row r="10" customFormat="false" ht="21.75" hidden="false" customHeight="true" outlineLevel="0" collapsed="false">
      <c r="A10" s="57" t="s">
        <v>95</v>
      </c>
      <c r="B10" s="58"/>
      <c r="C10" s="58"/>
      <c r="D10" s="58"/>
      <c r="E10" s="58"/>
      <c r="F10" s="58"/>
      <c r="G10" s="58"/>
      <c r="H10" s="58"/>
      <c r="I10" s="58"/>
      <c r="J10" s="58"/>
      <c r="K10" s="59" t="s">
        <v>184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</row>
    <row r="11" customFormat="false" ht="21.75" hidden="false" customHeight="true" outlineLevel="0" collapsed="false">
      <c r="A11" s="57" t="s">
        <v>98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 t="s">
        <v>184</v>
      </c>
      <c r="X11" s="58"/>
      <c r="Y11" s="58"/>
      <c r="Z11" s="58"/>
      <c r="AA11" s="58"/>
      <c r="AB11" s="58"/>
      <c r="AC11" s="58"/>
      <c r="AD11" s="58"/>
      <c r="AE11" s="58"/>
      <c r="AF11" s="58"/>
    </row>
    <row r="12" customFormat="false" ht="21.75" hidden="false" customHeight="true" outlineLevel="0" collapsed="false">
      <c r="A12" s="57" t="s">
        <v>101</v>
      </c>
      <c r="B12" s="59" t="s">
        <v>184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</row>
    <row r="13" customFormat="false" ht="21.75" hidden="false" customHeight="true" outlineLevel="0" collapsed="false">
      <c r="A13" s="57" t="s">
        <v>187</v>
      </c>
      <c r="B13" s="58"/>
      <c r="C13" s="58"/>
      <c r="D13" s="58"/>
      <c r="E13" s="58"/>
      <c r="F13" s="58"/>
      <c r="G13" s="58"/>
      <c r="H13" s="58"/>
      <c r="I13" s="59" t="s">
        <v>184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</row>
    <row r="14" customFormat="false" ht="21.75" hidden="false" customHeight="true" outlineLevel="0" collapsed="false">
      <c r="A14" s="57" t="s">
        <v>107</v>
      </c>
      <c r="B14" s="58"/>
      <c r="C14" s="58"/>
      <c r="D14" s="58"/>
      <c r="E14" s="58"/>
      <c r="F14" s="59" t="s">
        <v>184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</row>
    <row r="15" customFormat="false" ht="21.75" hidden="false" customHeight="true" outlineLevel="0" collapsed="false">
      <c r="A15" s="57" t="s">
        <v>104</v>
      </c>
      <c r="B15" s="59" t="s">
        <v>184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</row>
    <row r="16" customFormat="false" ht="21.75" hidden="false" customHeight="true" outlineLevel="0" collapsed="false">
      <c r="A16" s="57" t="s">
        <v>105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9" t="s">
        <v>184</v>
      </c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</row>
    <row r="18" customFormat="false" ht="13.5" hidden="false" customHeight="true" outlineLevel="0" collapsed="false"/>
    <row r="19" customFormat="false" ht="21.75" hidden="false" customHeight="true" outlineLevel="0" collapsed="false">
      <c r="A19" s="60" t="s">
        <v>188</v>
      </c>
      <c r="B19" s="60"/>
      <c r="C19" s="60"/>
      <c r="P19" s="61" t="s">
        <v>189</v>
      </c>
      <c r="Q19" s="61"/>
      <c r="R19" s="61"/>
      <c r="S19" s="61"/>
      <c r="T19" s="62" t="s">
        <v>190</v>
      </c>
      <c r="U19" s="62"/>
      <c r="V19" s="62"/>
      <c r="W19" s="62"/>
      <c r="X19" s="63" t="s">
        <v>191</v>
      </c>
      <c r="Y19" s="63"/>
      <c r="Z19" s="63"/>
      <c r="AA19" s="63"/>
      <c r="AB19" s="64" t="s">
        <v>192</v>
      </c>
      <c r="AC19" s="64"/>
      <c r="AD19" s="64"/>
      <c r="AE19" s="64"/>
    </row>
  </sheetData>
  <mergeCells count="6">
    <mergeCell ref="A2:AF2"/>
    <mergeCell ref="A19:C19"/>
    <mergeCell ref="P19:S19"/>
    <mergeCell ref="T19:W19"/>
    <mergeCell ref="X19:AA19"/>
    <mergeCell ref="AB19:A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26"/>
    <col collapsed="false" customWidth="true" hidden="false" outlineLevel="0" max="5" min="5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65" t="s">
        <v>193</v>
      </c>
      <c r="C2" s="65"/>
      <c r="D2" s="65"/>
    </row>
    <row r="3" customFormat="false" ht="13.5" hidden="false" customHeight="true" outlineLevel="0" collapsed="false"/>
    <row r="4" customFormat="false" ht="27.75" hidden="false" customHeight="true" outlineLevel="0" collapsed="false">
      <c r="B4" s="15" t="s">
        <v>194</v>
      </c>
      <c r="C4" s="15" t="s">
        <v>195</v>
      </c>
      <c r="D4" s="15" t="s">
        <v>196</v>
      </c>
    </row>
    <row r="5" customFormat="false" ht="36" hidden="false" customHeight="true" outlineLevel="0" collapsed="false">
      <c r="B5" s="66" t="s">
        <v>5</v>
      </c>
      <c r="C5" s="67" t="s">
        <v>197</v>
      </c>
      <c r="D5" s="68" t="s">
        <v>198</v>
      </c>
    </row>
    <row r="6" customFormat="false" ht="36" hidden="false" customHeight="true" outlineLevel="0" collapsed="false">
      <c r="B6" s="69" t="s">
        <v>199</v>
      </c>
      <c r="C6" s="70" t="s">
        <v>200</v>
      </c>
      <c r="D6" s="71" t="s">
        <v>201</v>
      </c>
    </row>
    <row r="7" customFormat="false" ht="36" hidden="false" customHeight="true" outlineLevel="0" collapsed="false">
      <c r="B7" s="66" t="s">
        <v>202</v>
      </c>
      <c r="C7" s="67" t="s">
        <v>203</v>
      </c>
      <c r="D7" s="68" t="s">
        <v>204</v>
      </c>
    </row>
    <row r="8" customFormat="false" ht="36" hidden="false" customHeight="true" outlineLevel="0" collapsed="false">
      <c r="B8" s="69" t="s">
        <v>205</v>
      </c>
      <c r="C8" s="70" t="s">
        <v>206</v>
      </c>
      <c r="D8" s="71" t="s">
        <v>207</v>
      </c>
    </row>
    <row r="9" customFormat="false" ht="36" hidden="false" customHeight="true" outlineLevel="0" collapsed="false">
      <c r="B9" s="66" t="s">
        <v>208</v>
      </c>
      <c r="C9" s="67" t="s">
        <v>209</v>
      </c>
      <c r="D9" s="68" t="s">
        <v>210</v>
      </c>
    </row>
    <row r="10" customFormat="false" ht="36" hidden="false" customHeight="true" outlineLevel="0" collapsed="false">
      <c r="B10" s="69" t="s">
        <v>211</v>
      </c>
      <c r="C10" s="70" t="s">
        <v>212</v>
      </c>
      <c r="D10" s="71" t="s">
        <v>213</v>
      </c>
    </row>
    <row r="11" customFormat="false" ht="36" hidden="false" customHeight="true" outlineLevel="0" collapsed="false">
      <c r="B11" s="66" t="s">
        <v>214</v>
      </c>
      <c r="C11" s="67" t="s">
        <v>215</v>
      </c>
      <c r="D11" s="68" t="s">
        <v>216</v>
      </c>
    </row>
    <row r="12" customFormat="false" ht="36" hidden="false" customHeight="true" outlineLevel="0" collapsed="false">
      <c r="B12" s="69" t="s">
        <v>217</v>
      </c>
      <c r="C12" s="70" t="s">
        <v>218</v>
      </c>
      <c r="D12" s="71" t="s">
        <v>219</v>
      </c>
    </row>
    <row r="13" customFormat="false" ht="36" hidden="false" customHeight="true" outlineLevel="0" collapsed="false">
      <c r="B13" s="66" t="s">
        <v>220</v>
      </c>
      <c r="C13" s="67" t="s">
        <v>221</v>
      </c>
      <c r="D13" s="68" t="s">
        <v>222</v>
      </c>
    </row>
    <row r="14" customFormat="false" ht="36" hidden="false" customHeight="true" outlineLevel="0" collapsed="false">
      <c r="B14" s="69" t="s">
        <v>223</v>
      </c>
      <c r="C14" s="70" t="s">
        <v>224</v>
      </c>
      <c r="D14" s="71" t="s">
        <v>225</v>
      </c>
    </row>
    <row r="16" customFormat="false" ht="18" hidden="false" customHeight="true" outlineLevel="0" collapsed="false"/>
    <row r="17" customFormat="false" ht="15" hidden="false" customHeight="true" outlineLevel="0" collapsed="false">
      <c r="B17" s="72" t="s">
        <v>226</v>
      </c>
      <c r="C17" s="72"/>
      <c r="D17" s="72"/>
    </row>
  </sheetData>
  <mergeCells count="2">
    <mergeCell ref="B2:D2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8522"/>
    <pageSetUpPr fitToPage="false"/>
  </sheetPr>
  <dimension ref="B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6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65" t="s">
        <v>227</v>
      </c>
      <c r="C2" s="65"/>
      <c r="D2" s="65"/>
      <c r="E2" s="65"/>
    </row>
    <row r="3" customFormat="false" ht="13.5" hidden="false" customHeight="true" outlineLevel="0" collapsed="false"/>
    <row r="4" customFormat="false" ht="15" hidden="false" customHeight="true" outlineLevel="0" collapsed="false">
      <c r="B4" s="15" t="s">
        <v>228</v>
      </c>
      <c r="C4" s="16" t="s">
        <v>229</v>
      </c>
      <c r="D4" s="16" t="s">
        <v>230</v>
      </c>
      <c r="E4" s="15" t="s">
        <v>130</v>
      </c>
    </row>
    <row r="5" customFormat="false" ht="36" hidden="false" customHeight="true" outlineLevel="0" collapsed="false">
      <c r="B5" s="73" t="s">
        <v>231</v>
      </c>
      <c r="C5" s="74" t="s">
        <v>232</v>
      </c>
      <c r="D5" s="75" t="s">
        <v>233</v>
      </c>
      <c r="E5" s="76"/>
    </row>
    <row r="6" customFormat="false" ht="36" hidden="false" customHeight="true" outlineLevel="0" collapsed="false">
      <c r="B6" s="73" t="s">
        <v>231</v>
      </c>
      <c r="C6" s="77" t="s">
        <v>234</v>
      </c>
      <c r="D6" s="78" t="s">
        <v>235</v>
      </c>
      <c r="E6" s="76"/>
    </row>
    <row r="7" customFormat="false" ht="36" hidden="false" customHeight="true" outlineLevel="0" collapsed="false">
      <c r="B7" s="73" t="s">
        <v>236</v>
      </c>
      <c r="C7" s="74" t="s">
        <v>237</v>
      </c>
      <c r="D7" s="75" t="s">
        <v>238</v>
      </c>
      <c r="E7" s="76"/>
    </row>
    <row r="8" customFormat="false" ht="36" hidden="false" customHeight="true" outlineLevel="0" collapsed="false">
      <c r="B8" s="73" t="s">
        <v>236</v>
      </c>
      <c r="C8" s="77" t="s">
        <v>239</v>
      </c>
      <c r="D8" s="78" t="s">
        <v>240</v>
      </c>
      <c r="E8" s="76"/>
    </row>
    <row r="9" customFormat="false" ht="36" hidden="false" customHeight="true" outlineLevel="0" collapsed="false">
      <c r="B9" s="73" t="s">
        <v>241</v>
      </c>
      <c r="C9" s="74" t="s">
        <v>242</v>
      </c>
      <c r="D9" s="75" t="s">
        <v>243</v>
      </c>
      <c r="E9" s="76"/>
    </row>
    <row r="10" customFormat="false" ht="36" hidden="false" customHeight="true" outlineLevel="0" collapsed="false">
      <c r="B10" s="73" t="s">
        <v>241</v>
      </c>
      <c r="C10" s="77" t="s">
        <v>244</v>
      </c>
      <c r="D10" s="78" t="s">
        <v>245</v>
      </c>
      <c r="E10" s="76"/>
    </row>
    <row r="11" customFormat="false" ht="36" hidden="false" customHeight="true" outlineLevel="0" collapsed="false">
      <c r="B11" s="73" t="s">
        <v>246</v>
      </c>
      <c r="C11" s="74" t="s">
        <v>247</v>
      </c>
      <c r="D11" s="75" t="s">
        <v>248</v>
      </c>
      <c r="E11" s="76"/>
    </row>
    <row r="12" customFormat="false" ht="36" hidden="false" customHeight="true" outlineLevel="0" collapsed="false">
      <c r="B12" s="73" t="s">
        <v>246</v>
      </c>
      <c r="C12" s="77" t="s">
        <v>249</v>
      </c>
      <c r="D12" s="78" t="s">
        <v>250</v>
      </c>
      <c r="E12" s="76"/>
    </row>
    <row r="13" customFormat="false" ht="36" hidden="false" customHeight="true" outlineLevel="0" collapsed="false">
      <c r="B13" s="73" t="s">
        <v>251</v>
      </c>
      <c r="C13" s="74" t="s">
        <v>252</v>
      </c>
      <c r="D13" s="75" t="s">
        <v>253</v>
      </c>
      <c r="E13" s="76"/>
    </row>
    <row r="14" customFormat="false" ht="36" hidden="false" customHeight="true" outlineLevel="0" collapsed="false">
      <c r="B14" s="73" t="s">
        <v>251</v>
      </c>
      <c r="C14" s="77" t="s">
        <v>254</v>
      </c>
      <c r="D14" s="78" t="s">
        <v>255</v>
      </c>
      <c r="E14" s="76"/>
    </row>
    <row r="16" customFormat="false" ht="18" hidden="false" customHeight="true" outlineLevel="0" collapsed="false"/>
    <row r="17" customFormat="false" ht="15" hidden="false" customHeight="true" outlineLevel="0" collapsed="false">
      <c r="B17" s="79" t="s">
        <v>256</v>
      </c>
      <c r="C17" s="79"/>
      <c r="D17" s="79"/>
      <c r="E17" s="79"/>
    </row>
  </sheetData>
  <mergeCells count="2">
    <mergeCell ref="B2:E2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2026-04-01T14:28:26Z</dcterms:created>
  <dc:creator>openpyxl</dc:creator>
  <dc:description/>
  <dc:language>en-US</dc:language>
  <cp:lastModifiedBy/>
  <dcterms:modified xsi:type="dcterms:W3CDTF">2026-04-01T14:30:25Z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