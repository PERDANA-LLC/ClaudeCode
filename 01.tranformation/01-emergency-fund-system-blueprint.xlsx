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90-Day Calendar" sheetId="2" state="visible" r:id="rId4"/>
    <sheet name="Gap Finder" sheetId="3" state="visible" r:id="rId5"/>
    <sheet name="Money Sources" sheetId="4" state="visible" r:id="rId6"/>
    <sheet name="Obstacle Strategy" sheetId="5" state="visible" r:id="rId7"/>
    <sheet name="Auto-Refill Setu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<sst xmlns="http://schemas.openxmlformats.org/spreadsheetml/2006/main" count="281" uniqueCount="240">
  <si>
    <t xml:space="preserve">$0 to $1,000 Emergency Fund — 90 Day Blueprint</t>
  </si>
  <si>
    <t xml:space="preserve">Fill in the 5 yellow cells below. Everything else calculates automatically.</t>
  </si>
  <si>
    <t xml:space="preserve">YOUR 5 INPUTS — Fill in the yellow cells</t>
  </si>
  <si>
    <t xml:space="preserve">Input 1</t>
  </si>
  <si>
    <t xml:space="preserve">Monthly take-home income</t>
  </si>
  <si>
    <t xml:space="preserve">After-tax dollars deposited each month</t>
  </si>
  <si>
    <t xml:space="preserve">Input 2</t>
  </si>
  <si>
    <t xml:space="preserve">Monthly essential expenses</t>
  </si>
  <si>
    <t xml:space="preserve">Rent + utilities + food + transportation only</t>
  </si>
  <si>
    <t xml:space="preserve">Input 3</t>
  </si>
  <si>
    <t xml:space="preserve">Amount already saved toward $1,000</t>
  </si>
  <si>
    <t xml:space="preserve">Enter 0 if starting from scratch</t>
  </si>
  <si>
    <t xml:space="preserve">Input 4</t>
  </si>
  <si>
    <t xml:space="preserve">Pay frequency</t>
  </si>
  <si>
    <t xml:space="preserve">Bi-weekly</t>
  </si>
  <si>
    <t xml:space="preserve">Weekly / Bi-weekly / Semi-monthly / Monthly</t>
  </si>
  <si>
    <t xml:space="preserve">Input 5</t>
  </si>
  <si>
    <t xml:space="preserve">Biggest obstacle to saving</t>
  </si>
  <si>
    <t xml:space="preserve">Spend before save</t>
  </si>
  <si>
    <t xml:space="preserve">Spend before save / Nothing left over / Unexpected expenses / Don't know where it goes</t>
  </si>
  <si>
    <t xml:space="preserve">YOUR SAVINGS MATH — Auto-calculated</t>
  </si>
  <si>
    <t xml:space="preserve">Monthly take-home</t>
  </si>
  <si>
    <t xml:space="preserve">Monthly essentials</t>
  </si>
  <si>
    <t xml:space="preserve">Monthly surplus (gap)</t>
  </si>
  <si>
    <t xml:space="preserve">Weekly savings capacity</t>
  </si>
  <si>
    <t xml:space="preserve">Already saved</t>
  </si>
  <si>
    <t xml:space="preserve">Remaining to $1,000</t>
  </si>
  <si>
    <t xml:space="preserve">Weeks needed at capacity</t>
  </si>
  <si>
    <t xml:space="preserve">On track to hit $1,000?</t>
  </si>
  <si>
    <t xml:space="preserve">HOW TO USE THIS WORKBOOK</t>
  </si>
  <si>
    <t xml:space="preserve">You fill in 5 cells above — the workbook does the rest. Follow the 4 steps below, then use the tabs at the bottom each week until you hit $1,000.</t>
  </si>
  <si>
    <t xml:space="preserve">STEP 1</t>
  </si>
  <si>
    <t xml:space="preserve">Fill in your 5 inputs above (yellow cells)</t>
  </si>
  <si>
    <t xml:space="preserve">→</t>
  </si>
  <si>
    <t xml:space="preserve">Input 1 — Your monthly take-home after taxes.</t>
  </si>
  <si>
    <t xml:space="preserve">Input 2 — Essential expenses only: rent, utilities, food, transportation.</t>
  </si>
  <si>
    <t xml:space="preserve">Input 3 — Enter 0 if starting from scratch, or any amount already saved.</t>
  </si>
  <si>
    <t xml:space="preserve">Input 4 — How often you receive a paycheck.</t>
  </si>
  <si>
    <t xml:space="preserve">Input 5 — Pick the obstacle that best describes why saving is hard for you.</t>
  </si>
  <si>
    <t xml:space="preserve">STEP 2</t>
  </si>
  <si>
    <t xml:space="preserve">Check your savings math (auto-calculated above)</t>
  </si>
  <si>
    <t xml:space="preserve">Your 'weekly savings capacity' is the key number — this is what you can realistically save per week.</t>
  </si>
  <si>
    <t xml:space="preserve">If it reads $0 or negative, go to the Money Sources tab for ways to increase income or cut expenses.</t>
  </si>
  <si>
    <t xml:space="preserve">The 'On track?' row tells you immediately whether a 90-day finish is realistic at your current capacity.</t>
  </si>
  <si>
    <t xml:space="preserve">You do not need to edit any cells in the savings math section — they update automatically.</t>
  </si>
  <si>
    <t xml:space="preserve">STEP 3</t>
  </si>
  <si>
    <t xml:space="preserve">Open the 90-Day Calendar tab — follow week 1 only</t>
  </si>
  <si>
    <t xml:space="preserve">Each week has one target deposit amount — focus only on the current week.</t>
  </si>
  <si>
    <t xml:space="preserve">Check the box when the deposit is made. The running total updates automatically.</t>
  </si>
  <si>
    <t xml:space="preserve">If you miss a week, the calendar recalculates what you need to catch up — do not skip ahead.</t>
  </si>
  <si>
    <t xml:space="preserve">Deposit into a separate savings account, not your checking account.</t>
  </si>
  <si>
    <t xml:space="preserve">STEP 4</t>
  </si>
  <si>
    <t xml:space="preserve">Use the Money Sources + Obstacle Strategy tabs to stay on track</t>
  </si>
  <si>
    <t xml:space="preserve">Money Sources tab — your top-3 fastest actions to generate extra cash this week.</t>
  </si>
  <si>
    <t xml:space="preserve">Obstacle Strategy tab — one page of tactics matched to your Input 5 answer.</t>
  </si>
  <si>
    <t xml:space="preserve">Auto-Refill tab — set this up after your first $1,000 deposit so the fund rebuilds itself.</t>
  </si>
  <si>
    <t xml:space="preserve">Review your gap number monthly — income and expenses change, so update Inputs 1 and 2.</t>
  </si>
  <si>
    <t xml:space="preserve">COLOR LEGEND</t>
  </si>
  <si>
    <t xml:space="preserve">Yellow cell</t>
  </si>
  <si>
    <t xml:space="preserve">Fill this in — it's your input</t>
  </si>
  <si>
    <t xml:space="preserve">Teal cell</t>
  </si>
  <si>
    <t xml:space="preserve">Auto-calculated — do not edit</t>
  </si>
  <si>
    <t xml:space="preserve">Purple cell</t>
  </si>
  <si>
    <t xml:space="preserve">Label / category tag</t>
  </si>
  <si>
    <t xml:space="preserve">Gray cell</t>
  </si>
  <si>
    <t xml:space="preserve">Pre-filled example or reference</t>
  </si>
  <si>
    <t xml:space="preserve">Amber cell</t>
  </si>
  <si>
    <t xml:space="preserve">Tip or important note</t>
  </si>
  <si>
    <t xml:space="preserve">Green cell</t>
  </si>
  <si>
    <t xml:space="preserve">On-track / completed status</t>
  </si>
  <si>
    <t xml:space="preserve">Total time to set up: ~10 min  |  Weekly check-in: ~2 min  |  Target: $1,000 in 90 days (13 weeks)</t>
  </si>
  <si>
    <t xml:space="preserve">90-Day Savings Calendar — Week by Week</t>
  </si>
  <si>
    <t xml:space="preserve">Each week: make your deposit, check the box, watch your balance grow. Focus on one week at a time.</t>
  </si>
  <si>
    <t xml:space="preserve">Week</t>
  </si>
  <si>
    <t xml:space="preserve">Dates (fill in)</t>
  </si>
  <si>
    <t xml:space="preserve">Target Deposit</t>
  </si>
  <si>
    <t xml:space="preserve">Actual Deposit</t>
  </si>
  <si>
    <t xml:space="preserve">Running Total</t>
  </si>
  <si>
    <t xml:space="preserve">Done?</t>
  </si>
  <si>
    <t xml:space="preserve">Notes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</si>
  <si>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</si>
  <si>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</si>
  <si>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</si>
  <si>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</si>
  <si>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</si>
  <si>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</si>
  <si>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</si>
  <si>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</si>
  <si>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</si>
  <si>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</si>
  <si>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</si>
  <si>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</si>
  <si>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</si>
  <si>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TOTAL</t>
  </si>
  <si>
    <t xml:space="preserve">Progress to $1,000</t>
  </si>
  <si>
    <t xml:space="preserve">Tip: Enter "X" or "Done" in the Done? column each week. Deposit into a separate savings account — not checking.</t>
  </si>
  <si>
    <t xml:space="preserve">Gap Finder — Where Does Your Money Go?</t>
  </si>
  <si>
    <t xml:space="preserve">INCOME</t>
  </si>
  <si>
    <t xml:space="preserve">Primary job / salary</t>
  </si>
  <si>
    <t xml:space="preserve">Side income (if any)</t>
  </si>
  <si>
    <t xml:space="preserve">Other income</t>
  </si>
  <si>
    <t xml:space="preserve">TOTAL INCOME</t>
  </si>
  <si>
    <t xml:space="preserve">ESSENTIAL EXPENSES (must-pay)</t>
  </si>
  <si>
    <t xml:space="preserve">Rent / Mortgage</t>
  </si>
  <si>
    <t xml:space="preserve">Estimated from your Input 2</t>
  </si>
  <si>
    <t xml:space="preserve">Utilities (electric/gas/water)</t>
  </si>
  <si>
    <t xml:space="preserve">Groceries / Food</t>
  </si>
  <si>
    <t xml:space="preserve">Transportation</t>
  </si>
  <si>
    <t xml:space="preserve">Gas, transit, car payment</t>
  </si>
  <si>
    <t xml:space="preserve">Phone</t>
  </si>
  <si>
    <t xml:space="preserve">Insurance</t>
  </si>
  <si>
    <t xml:space="preserve">Health, car, renters</t>
  </si>
  <si>
    <t xml:space="preserve">Minimum debt payments</t>
  </si>
  <si>
    <t xml:space="preserve">Credit cards, loans</t>
  </si>
  <si>
    <t xml:space="preserve">Other essentials</t>
  </si>
  <si>
    <t xml:space="preserve">TOTAL EXPENSES</t>
  </si>
  <si>
    <t xml:space="preserve">YOUR GAP</t>
  </si>
  <si>
    <t xml:space="preserve">Monthly surplus (your gap)</t>
  </si>
  <si>
    <t xml:space="preserve">Daily savings capacity</t>
  </si>
  <si>
    <t xml:space="preserve">Your weekly savings capacity = the target amount to deposit each week in the 90-Day Calendar.</t>
  </si>
  <si>
    <t xml:space="preserve">12 Money Sources — Ranked Fastest to Slowest</t>
  </si>
  <si>
    <t xml:space="preserve">Check the boxes in column B for your top 3. Fastest cash sources are listed first. One action per source — do it this week.</t>
  </si>
  <si>
    <t xml:space="preserve">Use?</t>
  </si>
  <si>
    <t xml:space="preserve">Money Source</t>
  </si>
  <si>
    <t xml:space="preserve">Est. $ Range</t>
  </si>
  <si>
    <t xml:space="preserve">Time to Cash</t>
  </si>
  <si>
    <t xml:space="preserve">Your Action This Week</t>
  </si>
  <si>
    <t xml:space="preserve">Sell unused items</t>
  </si>
  <si>
    <t xml:space="preserve">$20–$300</t>
  </si>
  <si>
    <t xml:space="preserve">Same day</t>
  </si>
  <si>
    <t xml:space="preserve">List 5 items on Facebook Marketplace today. Price 30% below retail for fast sale.</t>
  </si>
  <si>
    <t xml:space="preserve">Gig app (Uber/DoorDash)</t>
  </si>
  <si>
    <t xml:space="preserve">$50–$200/wk</t>
  </si>
  <si>
    <t xml:space="preserve">2–3 days</t>
  </si>
  <si>
    <t xml:space="preserve">Sign up today, complete orientation, do first delivery this weekend.</t>
  </si>
  <si>
    <t xml:space="preserve">Return unused purchases</t>
  </si>
  <si>
    <t xml:space="preserve">$20–$150</t>
  </si>
  <si>
    <t xml:space="preserve">2–5 days</t>
  </si>
  <si>
    <t xml:space="preserve">Check last 90 days of purchases. Return anything unworn or unopened.</t>
  </si>
  <si>
    <t xml:space="preserve">Cancel unused subscriptions</t>
  </si>
  <si>
    <t xml:space="preserve">$10–$100/mo</t>
  </si>
  <si>
    <t xml:space="preserve">Immediate</t>
  </si>
  <si>
    <t xml:space="preserve">Log into bank, find recurring charges, cancel any you forgot about.</t>
  </si>
  <si>
    <t xml:space="preserve">Odd jobs (TaskRabbit/Craigslist)</t>
  </si>
  <si>
    <t xml:space="preserve">$50–$300</t>
  </si>
  <si>
    <t xml:space="preserve">3–7 days</t>
  </si>
  <si>
    <t xml:space="preserve">Post 1 service offer today: moving help, cleaning, yard work, assembly.</t>
  </si>
  <si>
    <t xml:space="preserve">Cash in gift cards</t>
  </si>
  <si>
    <t xml:space="preserve">$10–$200</t>
  </si>
  <si>
    <t xml:space="preserve">1–2 days</t>
  </si>
  <si>
    <t xml:space="preserve">Check drawers/wallet for unused gift cards. Sell on Raise.com for 80–90% cash.</t>
  </si>
  <si>
    <t xml:space="preserve">Ask for overtime</t>
  </si>
  <si>
    <t xml:space="preserve">Next paycheck</t>
  </si>
  <si>
    <t xml:space="preserve">Email your manager today asking about available overtime or extra shifts.</t>
  </si>
  <si>
    <t xml:space="preserve">Negotiate a bill</t>
  </si>
  <si>
    <t xml:space="preserve">$10–$50/mo</t>
  </si>
  <si>
    <t xml:space="preserve">Call internet or phone provider. Ask for loyalty discount or current promotions.</t>
  </si>
  <si>
    <t xml:space="preserve">Plasma/blood donation</t>
  </si>
  <si>
    <t xml:space="preserve">$50–$100</t>
  </si>
  <si>
    <t xml:space="preserve">Find nearest center at donatingplasma.org. First donation often pays more.</t>
  </si>
  <si>
    <t xml:space="preserve">Tax refund (if owed)</t>
  </si>
  <si>
    <t xml:space="preserve">$200–$1,500</t>
  </si>
  <si>
    <t xml:space="preserve">1–3 weeks</t>
  </si>
  <si>
    <t xml:space="preserve">File taxes immediately if not done. Use IRS Free File if income under $73k.</t>
  </si>
  <si>
    <t xml:space="preserve">Side hustle launch</t>
  </si>
  <si>
    <t xml:space="preserve">$100–$500+</t>
  </si>
  <si>
    <t xml:space="preserve">2–4 weeks</t>
  </si>
  <si>
    <t xml:space="preserve">Pick one skill (writing, design, tutoring, bookkeeping). Post one offer on Fiverr.</t>
  </si>
  <si>
    <t xml:space="preserve">Ask for a raise</t>
  </si>
  <si>
    <t xml:space="preserve">$100–$500/mo</t>
  </si>
  <si>
    <t xml:space="preserve">Next cycle</t>
  </si>
  <si>
    <t xml:space="preserve">Document 3 wins from last 6 months. Request a meeting with your manager this week.</t>
  </si>
  <si>
    <t xml:space="preserve">Strategy: Check your top 3, execute one action per source this week. Green = fastest cash. Amber = medium. Red = longer term.</t>
  </si>
  <si>
    <t xml:space="preserve">Obstacle Strategy — Your Personalized Fix</t>
  </si>
  <si>
    <t xml:space="preserve">If your obstacle is: "Spend before save"</t>
  </si>
  <si>
    <t xml:space="preserve">Tactic 1 — Automate immediately</t>
  </si>
  <si>
    <t xml:space="preserve">Set up a recurring transfer for the morning AFTER your payday, before you touch the money. Log into your bank today and schedule it.</t>
  </si>
  <si>
    <t xml:space="preserve">Tactic 2 — Open a separate account</t>
  </si>
  <si>
    <t xml:space="preserve">Move savings to a different bank (Ally, Marcus). Out of sight = out of reach. No debit card for the savings account.</t>
  </si>
  <si>
    <t xml:space="preserve">Tactic 3 — Pay yourself first</t>
  </si>
  <si>
    <t xml:space="preserve">Treat savings like rent — non-negotiable. Transfer happens before any discretionary spending, every single payday.</t>
  </si>
  <si>
    <t xml:space="preserve">Tactic 4 — Remove friction barriers</t>
  </si>
  <si>
    <t xml:space="preserve">Delete your savings account from your primary bank's app. Make it slightly inconvenient to access the money.</t>
  </si>
  <si>
    <t xml:space="preserve">Tactic 5 — Weekly amount, not monthly</t>
  </si>
  <si>
    <t xml:space="preserve">Commit to $X per week, not per month. Smaller, more frequent wins build the habit faster.</t>
  </si>
  <si>
    <t xml:space="preserve">If your obstacle is: "Nothing left over"</t>
  </si>
  <si>
    <t xml:space="preserve">Tactic 1 — Find your 3 biggest leaks</t>
  </si>
  <si>
    <t xml:space="preserve">Print last month's bank statement. Highlight the top 3 categories besides essentials. Those are your first cuts.</t>
  </si>
  <si>
    <t xml:space="preserve">Tactic 2 — The $1/day challenge</t>
  </si>
  <si>
    <t xml:space="preserve">Start with just $1 per day ($30/month). It builds the habit without feeling like sacrifice. Scale up after 30 days.</t>
  </si>
  <si>
    <t xml:space="preserve">Tactic 3 — Cut one subscription today</t>
  </si>
  <si>
    <t xml:space="preserve">Go to your bank app, find recurring charges. Cancel the one you use least. Average person saves $40–$80/mo.</t>
  </si>
  <si>
    <t xml:space="preserve">Tactic 4 — Activate a money source</t>
  </si>
  <si>
    <t xml:space="preserve">If expenses truly equal income, you need more income — not more cuts. Go to the Money Sources tab and activate your top-3 today.</t>
  </si>
  <si>
    <t xml:space="preserve">Tactic 5 — No-spend 3 days per week</t>
  </si>
  <si>
    <t xml:space="preserve">Pick Mon/Wed/Fri as no-spend days. No coffee, no eating out, no impulse buys. Bank the difference each week.</t>
  </si>
  <si>
    <t xml:space="preserve">If your obstacle is: "Unexpected expenses"</t>
  </si>
  <si>
    <t xml:space="preserve">Tactic 1 — Build a $200 buffer first</t>
  </si>
  <si>
    <t xml:space="preserve">Before targeting $1,000, get to $200. This covers 80% of common unexpected costs and stops credit card dependency.</t>
  </si>
  <si>
    <t xml:space="preserve">Tactic 2 — Predict the unpredictable</t>
  </si>
  <si>
    <t xml:space="preserve">List recurring 'surprises': car registration, annual subscriptions, medical copays. Divide by 12 and save that monthly.</t>
  </si>
  <si>
    <t xml:space="preserve">Tactic 3 — The replacement fund rule</t>
  </si>
  <si>
    <t xml:space="preserve">When you withdraw from the fund, activate your top money source immediately to replace it within 2 weeks.</t>
  </si>
  <si>
    <t xml:space="preserve">Tactic 4 — Separate accounts by purpose</t>
  </si>
  <si>
    <t xml:space="preserve">One account = $200 buffer (accessible). One account = $800 growth fund (harder to access). Two buckets, two purposes.</t>
  </si>
  <si>
    <t xml:space="preserve">Tactic 5 — Increase your credit card limit</t>
  </si>
  <si>
    <t xml:space="preserve">Call your card issuer and request a limit increase (do not increase spending). This is your backstop while the fund builds.</t>
  </si>
  <si>
    <t xml:space="preserve">If your obstacle is: "Don't know where it goes"</t>
  </si>
  <si>
    <t xml:space="preserve">Tactic 1 — The 10-minute bank audit</t>
  </si>
  <si>
    <t xml:space="preserve">Right now: open your bank app, go to last month's transactions. Add up every non-essential charge. That total is your answer.</t>
  </si>
  <si>
    <t xml:space="preserve">Tactic 2 — Cash envelope method</t>
  </si>
  <si>
    <t xml:space="preserve">Withdraw your weekly discretionary budget in cash. When the envelope is empty, spending stops. No math required.</t>
  </si>
  <si>
    <t xml:space="preserve">Tactic 3 — One-category tracking</t>
  </si>
  <si>
    <t xml:space="preserve">Track only food spending for 2 weeks. Most people are shocked. One category is manageable; full budgeting feels overwhelming.</t>
  </si>
  <si>
    <t xml:space="preserve">Tactic 4 — The 24-hour rule</t>
  </si>
  <si>
    <t xml:space="preserve">For any non-essential purchase over $20: wait 24 hours. Most impulse buys disappear. The money stays in your account.</t>
  </si>
  <si>
    <t xml:space="preserve">Tactic 5 — Weekly 5-minute money check</t>
  </si>
  <si>
    <t xml:space="preserve">Every Sunday, spend 5 minutes reviewing the week's spending. Not to judge — just to see. Awareness alone reduces spending 10–15%.</t>
  </si>
  <si>
    <t xml:space="preserve">Auto-Refill Setup — Keep Your Fund Full Forever</t>
  </si>
  <si>
    <t xml:space="preserve">Once you hit $1,000 — set up these 5 steps so the fund rebuilds itself automatically after any withdrawal.</t>
  </si>
  <si>
    <t xml:space="preserve">Step</t>
  </si>
  <si>
    <t xml:space="preserve">Action</t>
  </si>
  <si>
    <t xml:space="preserve">How to do it</t>
  </si>
  <si>
    <t xml:space="preserve">1</t>
  </si>
  <si>
    <t xml:space="preserve">Open a dedicated high-yield savings account</t>
  </si>
  <si>
    <t xml:space="preserve">Open Ally Bank or Marcus by Goldman Sachs (no fees, 4%+ APY). Do NOT use your primary bank's savings account. Separate bank = less temptation.</t>
  </si>
  <si>
    <t xml:space="preserve">2</t>
  </si>
  <si>
    <t xml:space="preserve">Set up a recurring auto-transfer</t>
  </si>
  <si>
    <t xml:space="preserve">Log into your PRIMARY bank. Go to Transfers → Recurring. Set up a weekly transfer of your 'weekly savings capacity' (from Setup tab D16) to your new HYSA. Set the date to 1 day after payday.</t>
  </si>
  <si>
    <t xml:space="preserve">3</t>
  </si>
  <si>
    <t xml:space="preserve">Label the account 'Emergency Fund — Do Not Touch'</t>
  </si>
  <si>
    <t xml:space="preserve">In your HYSA app, rename the account. Psychological labeling reduces the chance of dipping into it for non-emergencies by over 50% (per behavioral finance research).</t>
  </si>
  <si>
    <t xml:space="preserve">4</t>
  </si>
  <si>
    <t xml:space="preserve">Set a low-balance alert at $800</t>
  </si>
  <si>
    <t xml:space="preserve">In your HYSA, set an email/text alert when the balance drops below $800. This is your trigger to activate a money source from the Money Sources tab to refill.</t>
  </si>
  <si>
    <t xml:space="preserve">5</t>
  </si>
  <si>
    <t xml:space="preserve">Create a refill rule: withdraw = activate</t>
  </si>
  <si>
    <t xml:space="preserve">Write this rule somewhere visible: 'Every time I withdraw from the emergency fund, I activate my #1 money source the same day until the fund is back to $1,000.' This is the system that keeps the system working.</t>
  </si>
  <si>
    <t xml:space="preserve">Recommended HYSA: Ally Bank (ally.com) or Marcus by Goldman Sachs (marcus.com). Both offer 4%+ APY, no minimums, no fees. Setup takes 10 minutes.</t>
  </si>
  <si>
    <t xml:space="preserve">Next step after $1,000: See product 09 — Automate Your Finances in One Saturday ($37) — to automate your bills, savings, and investments the same way.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</si>
</sst>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9FE1C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7F77DD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1"/>
      <color rgb="FF27500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85041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sz val="10"/>
      <color rgb="FF0C447C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b val="true"/>
      <sz val="10"/>
      <color rgb="FFBA7517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1"/>
      <color rgb="FF0F6E56"/>
      <name val="Arial"/>
      <family val="0"/>
      <charset val="1"/>
    </font>
    <font>
      <b val="true"/>
      <sz val="11"/>
      <color rgb="FF085041"/>
      <name val="Arial"/>
      <family val="0"/>
      <charset val="1"/>
    </font>
    <font>
      <sz val="9"/>
      <color rgb="FFBA7517"/>
      <name val="Arial"/>
      <family val="0"/>
      <charset val="1"/>
    </font>
    <font>
      <b val="true"/>
      <sz val="12"/>
      <color rgb="FF085041"/>
      <name val="Arial"/>
      <family val="0"/>
      <charset val="1"/>
    </font>
    <font>
      <b val="true"/>
      <sz val="14"/>
      <color rgb="FF0F6E56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712B13"/>
      <name val="Arial"/>
      <family val="0"/>
      <charset val="1"/>
    </font>
    <font>
      <b val="true"/>
      <sz val="12"/>
      <color rgb="FF9FE1CB"/>
      <name val="Arial"/>
      <family val="0"/>
      <charset val="1"/>
    </font>
    <font>
      <b val="true"/>
      <sz val="11"/>
      <color rgb="FF1D9E75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b val="true"/>
      <sz val="14"/>
      <color rgb="FF7F77DD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B3E"/>
        <bgColor rgb="FF1A1A1A"/>
      </patternFill>
    </fill>
    <fill>
      <patternFill patternType="solid">
        <fgColor rgb="FF1D9E75"/>
        <bgColor rgb="FF0F6E56"/>
      </patternFill>
    </fill>
    <fill>
      <patternFill patternType="solid">
        <fgColor rgb="FFEEEDFE"/>
        <bgColor rgb="FFE6F1FB"/>
      </patternFill>
    </fill>
    <fill>
      <patternFill patternType="solid">
        <fgColor rgb="FFF5F5F5"/>
        <bgColor rgb="FFEEEDF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1F5EE"/>
        <bgColor rgb="FFE6F1FB"/>
      </patternFill>
    </fill>
    <fill>
      <patternFill patternType="solid">
        <fgColor rgb="FFE6F1FB"/>
        <bgColor rgb="FFEEEDFE"/>
      </patternFill>
    </fill>
    <fill>
      <patternFill patternType="solid">
        <fgColor rgb="FFFAEEDA"/>
        <bgColor rgb="FFFAECE7"/>
      </patternFill>
    </fill>
    <fill>
      <patternFill patternType="solid">
        <fgColor rgb="FFEAF3DE"/>
        <bgColor rgb="FFE1F5EE"/>
      </patternFill>
    </fill>
    <fill>
      <patternFill patternType="solid">
        <fgColor rgb="FFFAECE7"/>
        <bgColor rgb="FFFAEE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/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38522"/>
      <rgbColor rgb="FF800080"/>
      <rgbColor rgb="FF0F6E56"/>
      <rgbColor rgb="FFD3D1C7"/>
      <rgbColor rgb="FF888888"/>
      <rgbColor rgb="FF9999FF"/>
      <rgbColor rgb="FF993366"/>
      <rgbColor rgb="FFFAEEDA"/>
      <rgbColor rgb="FFE1F5EE"/>
      <rgbColor rgb="FF660066"/>
      <rgbColor rgb="FFFF8080"/>
      <rgbColor rgb="FF0066CC"/>
      <rgbColor rgb="FFEEEDFE"/>
      <rgbColor rgb="FF000080"/>
      <rgbColor rgb="FFFF00FF"/>
      <rgbColor rgb="FFFFFF00"/>
      <rgbColor rgb="FF00FFFF"/>
      <rgbColor rgb="FF800080"/>
      <rgbColor rgb="FF800000"/>
      <rgbColor rgb="FF085041"/>
      <rgbColor rgb="FF0000FF"/>
      <rgbColor rgb="FF00CCFF"/>
      <rgbColor rgb="FFE6F1FB"/>
      <rgbColor rgb="FFEAF3DE"/>
      <rgbColor rgb="FFFAECE7"/>
      <rgbColor rgb="FF9FE1CB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BA7517"/>
      <rgbColor rgb="FF7F77DD"/>
      <rgbColor rgb="FF969696"/>
      <rgbColor rgb="FF0C447C"/>
      <rgbColor rgb="FF1D9E75"/>
      <rgbColor rgb="FF0D1B3E"/>
      <rgbColor rgb="FF27500A"/>
      <rgbColor rgb="FF712B13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3E"/>
    <pageSetUpPr fitToPage="false"/>
  </sheetPr>
  <dimension ref="B1:E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3"/>
  </cols>
  <sheetData>
    <row r="1" customFormat="false" ht="7.5" hidden="false" customHeight="true" outlineLevel="0" collapsed="false"/>
    <row r="2" customFormat="false" ht="51.75" hidden="false" customHeight="true" outlineLevel="0" collapsed="false">
      <c r="B2" s="1" t="s">
        <v>0</v>
      </c>
      <c r="C2" s="1"/>
      <c r="D2" s="1"/>
      <c r="E2" s="1"/>
    </row>
    <row r="3" customFormat="false" ht="21.75" hidden="false" customHeight="true" outlineLevel="0" collapsed="false">
      <c r="B3" s="2" t="s">
        <v>1</v>
      </c>
      <c r="C3" s="2"/>
      <c r="D3" s="2"/>
      <c r="E3" s="2"/>
    </row>
    <row r="4" customFormat="false" ht="12" hidden="false" customHeight="true" outlineLevel="0" collapsed="false"/>
    <row r="5" customFormat="false" ht="27.75" hidden="false" customHeight="true" outlineLevel="0" collapsed="false">
      <c r="B5" s="3" t="s">
        <v>2</v>
      </c>
      <c r="C5" s="3"/>
      <c r="D5" s="3"/>
      <c r="E5" s="3"/>
    </row>
    <row r="6" customFormat="false" ht="27.75" hidden="false" customHeight="true" outlineLevel="0" collapsed="false">
      <c r="B6" s="4" t="s">
        <v>3</v>
      </c>
      <c r="C6" s="5" t="s">
        <v>4</v>
      </c>
      <c r="D6" s="6" t="n">
        <v>4000</v>
      </c>
      <c r="E6" s="7" t="s">
        <v>5</v>
      </c>
    </row>
    <row r="7" customFormat="false" ht="27.75" hidden="false" customHeight="true" outlineLevel="0" collapsed="false">
      <c r="B7" s="4" t="s">
        <v>6</v>
      </c>
      <c r="C7" s="5" t="s">
        <v>7</v>
      </c>
      <c r="D7" s="6" t="n">
        <v>2800</v>
      </c>
      <c r="E7" s="7" t="s">
        <v>8</v>
      </c>
    </row>
    <row r="8" customFormat="false" ht="27.75" hidden="false" customHeight="true" outlineLevel="0" collapsed="false">
      <c r="B8" s="4" t="s">
        <v>9</v>
      </c>
      <c r="C8" s="5" t="s">
        <v>10</v>
      </c>
      <c r="D8" s="6" t="n">
        <v>0</v>
      </c>
      <c r="E8" s="7" t="s">
        <v>11</v>
      </c>
    </row>
    <row r="9" customFormat="false" ht="27.75" hidden="false" customHeight="true" outlineLevel="0" collapsed="false">
      <c r="B9" s="4" t="s">
        <v>12</v>
      </c>
      <c r="C9" s="5" t="s">
        <v>13</v>
      </c>
      <c r="D9" s="8" t="s">
        <v>14</v>
      </c>
      <c r="E9" s="7" t="s">
        <v>15</v>
      </c>
    </row>
    <row r="10" customFormat="false" ht="27.75" hidden="false" customHeight="true" outlineLevel="0" collapsed="false">
      <c r="B10" s="4" t="s">
        <v>16</v>
      </c>
      <c r="C10" s="5" t="s">
        <v>17</v>
      </c>
      <c r="D10" s="8" t="s">
        <v>18</v>
      </c>
      <c r="E10" s="7" t="s">
        <v>19</v>
      </c>
    </row>
    <row r="11" customFormat="false" ht="12" hidden="false" customHeight="true" outlineLevel="0" collapsed="false"/>
    <row r="12" customFormat="false" ht="27.75" hidden="false" customHeight="true" outlineLevel="0" collapsed="false">
      <c r="B12" s="9" t="s">
        <v>20</v>
      </c>
      <c r="C12" s="9"/>
      <c r="D12" s="9"/>
      <c r="E12" s="9"/>
    </row>
    <row r="13" customFormat="false" ht="25.5" hidden="false" customHeight="true" outlineLevel="0" collapsed="false">
      <c r="B13" s="10"/>
      <c r="C13" s="5" t="s">
        <v>21</v>
      </c>
      <c r="D13" s="11" t="n">
        <f aca="false">IF(D6="",0,D6)</f>
        <v>4000</v>
      </c>
      <c r="E13" s="10"/>
    </row>
    <row r="14" customFormat="false" ht="25.5" hidden="false" customHeight="true" outlineLevel="0" collapsed="false">
      <c r="B14" s="10"/>
      <c r="C14" s="5" t="s">
        <v>22</v>
      </c>
      <c r="D14" s="11" t="n">
        <f aca="false">IF(D7="",0,D7)</f>
        <v>2800</v>
      </c>
      <c r="E14" s="10"/>
    </row>
    <row r="15" customFormat="false" ht="25.5" hidden="false" customHeight="true" outlineLevel="0" collapsed="false">
      <c r="B15" s="10"/>
      <c r="C15" s="5" t="s">
        <v>23</v>
      </c>
      <c r="D15" s="12" t="n">
        <f aca="false">D13-D14</f>
        <v>1200</v>
      </c>
      <c r="E15" s="10"/>
    </row>
    <row r="16" customFormat="false" ht="25.5" hidden="false" customHeight="true" outlineLevel="0" collapsed="false">
      <c r="B16" s="10"/>
      <c r="C16" s="5" t="s">
        <v>24</v>
      </c>
      <c r="D16" s="12" t="n">
        <f aca="false">ROUND(D15/4.33,0)</f>
        <v>277</v>
      </c>
      <c r="E16" s="10"/>
    </row>
    <row r="17" customFormat="false" ht="25.5" hidden="false" customHeight="true" outlineLevel="0" collapsed="false">
      <c r="B17" s="10"/>
      <c r="C17" s="5" t="s">
        <v>25</v>
      </c>
      <c r="D17" s="11" t="n">
        <f aca="false">IF(D8="",0,D8)</f>
        <v>0</v>
      </c>
      <c r="E17" s="10"/>
    </row>
    <row r="18" customFormat="false" ht="25.5" hidden="false" customHeight="true" outlineLevel="0" collapsed="false">
      <c r="B18" s="10"/>
      <c r="C18" s="5" t="s">
        <v>26</v>
      </c>
      <c r="D18" s="11" t="n">
        <f aca="false">MAX(0,1000-D17)</f>
        <v>1000</v>
      </c>
      <c r="E18" s="10"/>
    </row>
    <row r="19" customFormat="false" ht="25.5" hidden="false" customHeight="true" outlineLevel="0" collapsed="false">
      <c r="B19" s="10"/>
      <c r="C19" s="5" t="s">
        <v>27</v>
      </c>
      <c r="D19" s="13" t="n">
        <f aca="false">IF(D16=0,"-",CEILING(D18/D16,1))</f>
        <v>4</v>
      </c>
      <c r="E19" s="10"/>
    </row>
    <row r="20" customFormat="false" ht="25.5" hidden="false" customHeight="true" outlineLevel="0" collapsed="false">
      <c r="B20" s="10"/>
      <c r="C20" s="5" t="s">
        <v>28</v>
      </c>
      <c r="D20" s="14" t="str">
        <f aca="false">IF(D19="-","Enter income",IF(D19&lt;=13,"YES — on track","Stretch — see Money Sources"))</f>
        <v>YES — on track</v>
      </c>
      <c r="E20" s="10"/>
    </row>
    <row r="21" customFormat="false" ht="12" hidden="false" customHeight="true" outlineLevel="0" collapsed="false"/>
    <row r="22" customFormat="false" ht="30" hidden="false" customHeight="true" outlineLevel="0" collapsed="false">
      <c r="B22" s="15" t="s">
        <v>29</v>
      </c>
      <c r="C22" s="15"/>
      <c r="D22" s="15"/>
      <c r="E22" s="15"/>
    </row>
    <row r="23" customFormat="false" ht="42" hidden="false" customHeight="true" outlineLevel="0" collapsed="false">
      <c r="B23" s="16" t="s">
        <v>30</v>
      </c>
      <c r="C23" s="16"/>
      <c r="D23" s="16"/>
      <c r="E23" s="16"/>
    </row>
    <row r="24" customFormat="false" ht="7.5" hidden="false" customHeight="true" outlineLevel="0" collapsed="false"/>
    <row r="25" customFormat="false" ht="27.75" hidden="false" customHeight="true" outlineLevel="0" collapsed="false">
      <c r="B25" s="17" t="s">
        <v>31</v>
      </c>
      <c r="C25" s="18" t="s">
        <v>32</v>
      </c>
      <c r="D25" s="18"/>
      <c r="E25" s="18"/>
    </row>
    <row r="26" customFormat="false" ht="21.75" hidden="false" customHeight="true" outlineLevel="0" collapsed="false">
      <c r="B26" s="19" t="s">
        <v>33</v>
      </c>
      <c r="C26" s="16" t="s">
        <v>34</v>
      </c>
      <c r="D26" s="16"/>
      <c r="E26" s="16"/>
    </row>
    <row r="27" customFormat="false" ht="21.75" hidden="false" customHeight="true" outlineLevel="0" collapsed="false">
      <c r="B27" s="19" t="s">
        <v>33</v>
      </c>
      <c r="C27" s="16" t="s">
        <v>35</v>
      </c>
      <c r="D27" s="16"/>
      <c r="E27" s="16"/>
    </row>
    <row r="28" customFormat="false" ht="21.75" hidden="false" customHeight="true" outlineLevel="0" collapsed="false">
      <c r="B28" s="19" t="s">
        <v>33</v>
      </c>
      <c r="C28" s="16" t="s">
        <v>36</v>
      </c>
      <c r="D28" s="16"/>
      <c r="E28" s="16"/>
    </row>
    <row r="29" customFormat="false" ht="21.75" hidden="false" customHeight="true" outlineLevel="0" collapsed="false">
      <c r="B29" s="19" t="s">
        <v>33</v>
      </c>
      <c r="C29" s="16" t="s">
        <v>37</v>
      </c>
      <c r="D29" s="16"/>
      <c r="E29" s="16"/>
    </row>
    <row r="30" customFormat="false" ht="21.75" hidden="false" customHeight="true" outlineLevel="0" collapsed="false">
      <c r="B30" s="19" t="s">
        <v>33</v>
      </c>
      <c r="C30" s="16" t="s">
        <v>38</v>
      </c>
      <c r="D30" s="16"/>
      <c r="E30" s="16"/>
    </row>
    <row r="31" customFormat="false" ht="6" hidden="false" customHeight="true" outlineLevel="0" collapsed="false"/>
    <row r="32" customFormat="false" ht="27.75" hidden="false" customHeight="true" outlineLevel="0" collapsed="false">
      <c r="B32" s="9" t="s">
        <v>39</v>
      </c>
      <c r="C32" s="20" t="s">
        <v>40</v>
      </c>
      <c r="D32" s="20"/>
      <c r="E32" s="20"/>
    </row>
    <row r="33" customFormat="false" ht="21.75" hidden="false" customHeight="true" outlineLevel="0" collapsed="false">
      <c r="B33" s="21" t="s">
        <v>33</v>
      </c>
      <c r="C33" s="22" t="s">
        <v>41</v>
      </c>
      <c r="D33" s="22"/>
      <c r="E33" s="22"/>
    </row>
    <row r="34" customFormat="false" ht="21.75" hidden="false" customHeight="true" outlineLevel="0" collapsed="false">
      <c r="B34" s="21" t="s">
        <v>33</v>
      </c>
      <c r="C34" s="22" t="s">
        <v>42</v>
      </c>
      <c r="D34" s="22"/>
      <c r="E34" s="22"/>
    </row>
    <row r="35" customFormat="false" ht="21.75" hidden="false" customHeight="true" outlineLevel="0" collapsed="false">
      <c r="B35" s="21" t="s">
        <v>33</v>
      </c>
      <c r="C35" s="22" t="s">
        <v>43</v>
      </c>
      <c r="D35" s="22"/>
      <c r="E35" s="22"/>
    </row>
    <row r="36" customFormat="false" ht="21.75" hidden="false" customHeight="true" outlineLevel="0" collapsed="false">
      <c r="B36" s="21" t="s">
        <v>33</v>
      </c>
      <c r="C36" s="22" t="s">
        <v>44</v>
      </c>
      <c r="D36" s="22"/>
      <c r="E36" s="22"/>
    </row>
    <row r="37" customFormat="false" ht="6" hidden="false" customHeight="true" outlineLevel="0" collapsed="false"/>
    <row r="38" customFormat="false" ht="27.75" hidden="false" customHeight="true" outlineLevel="0" collapsed="false">
      <c r="B38" s="17" t="s">
        <v>45</v>
      </c>
      <c r="C38" s="18" t="s">
        <v>46</v>
      </c>
      <c r="D38" s="18"/>
      <c r="E38" s="18"/>
    </row>
    <row r="39" customFormat="false" ht="21.75" hidden="false" customHeight="true" outlineLevel="0" collapsed="false">
      <c r="B39" s="19" t="s">
        <v>33</v>
      </c>
      <c r="C39" s="16" t="s">
        <v>47</v>
      </c>
      <c r="D39" s="16"/>
      <c r="E39" s="16"/>
    </row>
    <row r="40" customFormat="false" ht="21.75" hidden="false" customHeight="true" outlineLevel="0" collapsed="false">
      <c r="B40" s="19" t="s">
        <v>33</v>
      </c>
      <c r="C40" s="16" t="s">
        <v>48</v>
      </c>
      <c r="D40" s="16"/>
      <c r="E40" s="16"/>
    </row>
    <row r="41" customFormat="false" ht="21.75" hidden="false" customHeight="true" outlineLevel="0" collapsed="false">
      <c r="B41" s="19" t="s">
        <v>33</v>
      </c>
      <c r="C41" s="16" t="s">
        <v>49</v>
      </c>
      <c r="D41" s="16"/>
      <c r="E41" s="16"/>
    </row>
    <row r="42" customFormat="false" ht="21.75" hidden="false" customHeight="true" outlineLevel="0" collapsed="false">
      <c r="B42" s="19" t="s">
        <v>33</v>
      </c>
      <c r="C42" s="16" t="s">
        <v>50</v>
      </c>
      <c r="D42" s="16"/>
      <c r="E42" s="16"/>
    </row>
    <row r="43" customFormat="false" ht="6" hidden="false" customHeight="true" outlineLevel="0" collapsed="false"/>
    <row r="44" customFormat="false" ht="27.75" hidden="false" customHeight="true" outlineLevel="0" collapsed="false">
      <c r="B44" s="9" t="s">
        <v>51</v>
      </c>
      <c r="C44" s="20" t="s">
        <v>52</v>
      </c>
      <c r="D44" s="20"/>
      <c r="E44" s="20"/>
    </row>
    <row r="45" customFormat="false" ht="21.75" hidden="false" customHeight="true" outlineLevel="0" collapsed="false">
      <c r="B45" s="21" t="s">
        <v>33</v>
      </c>
      <c r="C45" s="22" t="s">
        <v>53</v>
      </c>
      <c r="D45" s="22"/>
      <c r="E45" s="22"/>
    </row>
    <row r="46" customFormat="false" ht="21.75" hidden="false" customHeight="true" outlineLevel="0" collapsed="false">
      <c r="B46" s="21" t="s">
        <v>33</v>
      </c>
      <c r="C46" s="22" t="s">
        <v>54</v>
      </c>
      <c r="D46" s="22"/>
      <c r="E46" s="22"/>
    </row>
    <row r="47" customFormat="false" ht="21.75" hidden="false" customHeight="true" outlineLevel="0" collapsed="false">
      <c r="B47" s="21" t="s">
        <v>33</v>
      </c>
      <c r="C47" s="22" t="s">
        <v>55</v>
      </c>
      <c r="D47" s="22"/>
      <c r="E47" s="22"/>
    </row>
    <row r="48" customFormat="false" ht="21.75" hidden="false" customHeight="true" outlineLevel="0" collapsed="false">
      <c r="B48" s="21" t="s">
        <v>33</v>
      </c>
      <c r="C48" s="22" t="s">
        <v>56</v>
      </c>
      <c r="D48" s="22"/>
      <c r="E48" s="22"/>
    </row>
    <row r="49" customFormat="false" ht="6" hidden="false" customHeight="true" outlineLevel="0" collapsed="false"/>
    <row r="50" customFormat="false" ht="9.75" hidden="false" customHeight="true" outlineLevel="0" collapsed="false"/>
    <row r="51" customFormat="false" ht="27.75" hidden="false" customHeight="true" outlineLevel="0" collapsed="false">
      <c r="B51" s="9" t="s">
        <v>57</v>
      </c>
      <c r="C51" s="9"/>
      <c r="D51" s="9"/>
      <c r="E51" s="9"/>
    </row>
    <row r="52" customFormat="false" ht="21.75" hidden="false" customHeight="true" outlineLevel="0" collapsed="false">
      <c r="B52" s="23" t="s">
        <v>58</v>
      </c>
      <c r="C52" s="24" t="s">
        <v>59</v>
      </c>
      <c r="D52" s="24"/>
      <c r="E52" s="24"/>
    </row>
    <row r="53" customFormat="false" ht="21.75" hidden="false" customHeight="true" outlineLevel="0" collapsed="false">
      <c r="B53" s="25" t="s">
        <v>60</v>
      </c>
      <c r="C53" s="24" t="s">
        <v>61</v>
      </c>
      <c r="D53" s="24"/>
      <c r="E53" s="24"/>
    </row>
    <row r="54" customFormat="false" ht="21.75" hidden="false" customHeight="true" outlineLevel="0" collapsed="false">
      <c r="B54" s="26" t="s">
        <v>62</v>
      </c>
      <c r="C54" s="24" t="s">
        <v>63</v>
      </c>
      <c r="D54" s="24"/>
      <c r="E54" s="24"/>
    </row>
    <row r="55" customFormat="false" ht="21.75" hidden="false" customHeight="true" outlineLevel="0" collapsed="false">
      <c r="B55" s="27" t="s">
        <v>64</v>
      </c>
      <c r="C55" s="24" t="s">
        <v>65</v>
      </c>
      <c r="D55" s="24"/>
      <c r="E55" s="24"/>
    </row>
    <row r="56" customFormat="false" ht="21.75" hidden="false" customHeight="true" outlineLevel="0" collapsed="false">
      <c r="B56" s="28" t="s">
        <v>66</v>
      </c>
      <c r="C56" s="24" t="s">
        <v>67</v>
      </c>
      <c r="D56" s="24"/>
      <c r="E56" s="24"/>
    </row>
    <row r="57" customFormat="false" ht="21.75" hidden="false" customHeight="true" outlineLevel="0" collapsed="false">
      <c r="B57" s="29" t="s">
        <v>68</v>
      </c>
      <c r="C57" s="24" t="s">
        <v>69</v>
      </c>
      <c r="D57" s="24"/>
      <c r="E57" s="24"/>
    </row>
    <row r="58" customFormat="false" ht="7.5" hidden="false" customHeight="true" outlineLevel="0" collapsed="false"/>
    <row r="59" customFormat="false" ht="25.5" hidden="false" customHeight="true" outlineLevel="0" collapsed="false">
      <c r="B59" s="30" t="s">
        <v>70</v>
      </c>
      <c r="C59" s="30"/>
      <c r="D59" s="30"/>
      <c r="E59" s="30"/>
    </row>
  </sheetData>
  <mergeCells count="35">
    <mergeCell ref="B2:E2"/>
    <mergeCell ref="B3:E3"/>
    <mergeCell ref="B5:E5"/>
    <mergeCell ref="B12:E12"/>
    <mergeCell ref="B22:E22"/>
    <mergeCell ref="B23:E23"/>
    <mergeCell ref="C25:E25"/>
    <mergeCell ref="C26:E26"/>
    <mergeCell ref="C27:E27"/>
    <mergeCell ref="C28:E28"/>
    <mergeCell ref="C29:E29"/>
    <mergeCell ref="C30:E30"/>
    <mergeCell ref="C32:E32"/>
    <mergeCell ref="C33:E33"/>
    <mergeCell ref="C34:E34"/>
    <mergeCell ref="C35:E35"/>
    <mergeCell ref="C36:E36"/>
    <mergeCell ref="C38:E38"/>
    <mergeCell ref="C39:E39"/>
    <mergeCell ref="C40:E40"/>
    <mergeCell ref="C41:E41"/>
    <mergeCell ref="C42:E42"/>
    <mergeCell ref="C44:E44"/>
    <mergeCell ref="C45:E45"/>
    <mergeCell ref="C46:E46"/>
    <mergeCell ref="C47:E47"/>
    <mergeCell ref="C48:E48"/>
    <mergeCell ref="B51:E51"/>
    <mergeCell ref="C52:E52"/>
    <mergeCell ref="C53:E53"/>
    <mergeCell ref="C54:E54"/>
    <mergeCell ref="C55:E55"/>
    <mergeCell ref="C56:E56"/>
    <mergeCell ref="C57:E57"/>
    <mergeCell ref="B59:E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B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6" min="4" style="0" width="18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3"/>
  </cols>
  <sheetData>
    <row r="1" customFormat="false" ht="7.5" hidden="false" customHeight="true" outlineLevel="0" collapsed="false"/>
    <row r="2" customFormat="false" ht="43.5" hidden="false" customHeight="true" outlineLevel="0" collapsed="false">
      <c r="B2" s="31" t="s">
        <v>71</v>
      </c>
      <c r="C2" s="31"/>
      <c r="D2" s="31"/>
      <c r="E2" s="31"/>
      <c r="F2" s="31"/>
      <c r="G2" s="31"/>
      <c r="H2" s="31"/>
    </row>
    <row r="3" customFormat="false" ht="21.75" hidden="false" customHeight="true" outlineLevel="0" collapsed="false">
      <c r="B3" s="2" t="s">
        <v>72</v>
      </c>
      <c r="C3" s="2"/>
      <c r="D3" s="2"/>
      <c r="E3" s="2"/>
      <c r="F3" s="2"/>
      <c r="G3" s="2"/>
      <c r="H3" s="2"/>
    </row>
    <row r="4" customFormat="false" ht="12" hidden="false" customHeight="true" outlineLevel="0" collapsed="false"/>
    <row r="5" customFormat="false" ht="27.75" hidden="false" customHeight="true" outlineLevel="0" collapsed="false">
      <c r="B5" s="9" t="s">
        <v>73</v>
      </c>
      <c r="C5" s="9" t="s">
        <v>74</v>
      </c>
      <c r="D5" s="9" t="s">
        <v>75</v>
      </c>
      <c r="E5" s="9" t="s">
        <v>76</v>
      </c>
      <c r="F5" s="9" t="s">
        <v>77</v>
      </c>
      <c r="G5" s="9" t="s">
        <v>78</v>
      </c>
      <c r="H5" s="9" t="s">
        <v>79</v>
      </c>
    </row>
    <row r="6" customFormat="false" ht="25.5" hidden="false" customHeight="true" outlineLevel="0" collapsed="false">
      <c r="B6" s="26" t="s">
        <v>80</v>
      </c>
      <c r="C6" s="32"/>
      <c r="D6" s="33" t="n">
        <f aca="false">IFERROR(CEILING((1000-Setup!D17)/13,1),0)</f>
        <v>77</v>
      </c>
      <c r="E6" s="6" t="n">
        <v>0</v>
      </c>
      <c r="F6" s="12" t="n">
        <f aca="false">Setup!D17+E6</f>
        <v>0</v>
      </c>
      <c r="G6" s="34"/>
      <c r="H6" s="24"/>
    </row>
    <row r="7" customFormat="false" ht="25.5" hidden="false" customHeight="true" outlineLevel="0" collapsed="false">
      <c r="B7" s="26" t="s">
        <v>81</v>
      </c>
      <c r="C7" s="32"/>
      <c r="D7" s="33" t="n">
        <f aca="false">IFERROR(CEILING((1000-Setup!D17)/13,1),0)</f>
        <v>77</v>
      </c>
      <c r="E7" s="6" t="n">
        <v>0</v>
      </c>
      <c r="F7" s="12" t="n">
        <f aca="false">F6+E7</f>
        <v>0</v>
      </c>
      <c r="G7" s="34"/>
      <c r="H7" s="24"/>
    </row>
    <row r="8" customFormat="false" ht="25.5" hidden="false" customHeight="true" outlineLevel="0" collapsed="false">
      <c r="B8" s="26" t="s">
        <v>82</v>
      </c>
      <c r="C8" s="32"/>
      <c r="D8" s="33" t="n">
        <f aca="false">IFERROR(CEILING((1000-Setup!D17)/13,1),0)</f>
        <v>77</v>
      </c>
      <c r="E8" s="6" t="n">
        <v>0</v>
      </c>
      <c r="F8" s="12" t="n">
        <f aca="false">F7+E8</f>
        <v>0</v>
      </c>
      <c r="G8" s="34"/>
      <c r="H8" s="24"/>
    </row>
    <row r="9" customFormat="false" ht="25.5" hidden="false" customHeight="true" outlineLevel="0" collapsed="false">
      <c r="B9" s="26" t="s">
        <v>83</v>
      </c>
      <c r="C9" s="32"/>
      <c r="D9" s="33" t="n">
        <f aca="false">IFERROR(CEILING((1000-Setup!D17)/13,1),0)</f>
        <v>77</v>
      </c>
      <c r="E9" s="6" t="n">
        <v>0</v>
      </c>
      <c r="F9" s="12" t="n">
        <f aca="false">F8+E9</f>
        <v>0</v>
      </c>
      <c r="G9" s="34"/>
      <c r="H9" s="24"/>
    </row>
    <row r="10" customFormat="false" ht="25.5" hidden="false" customHeight="true" outlineLevel="0" collapsed="false">
      <c r="B10" s="26" t="s">
        <v>84</v>
      </c>
      <c r="C10" s="32"/>
      <c r="D10" s="33" t="n">
        <f aca="false">IFERROR(CEILING((1000-Setup!D17)/13,1),0)</f>
        <v>77</v>
      </c>
      <c r="E10" s="6" t="n">
        <v>0</v>
      </c>
      <c r="F10" s="12" t="n">
        <f aca="false">F9+E10</f>
        <v>0</v>
      </c>
      <c r="G10" s="34"/>
      <c r="H10" s="24"/>
    </row>
    <row r="11" customFormat="false" ht="25.5" hidden="false" customHeight="true" outlineLevel="0" collapsed="false">
      <c r="B11" s="26" t="s">
        <v>85</v>
      </c>
      <c r="C11" s="32"/>
      <c r="D11" s="33" t="n">
        <f aca="false">IFERROR(CEILING((1000-Setup!D17)/13,1),0)</f>
        <v>77</v>
      </c>
      <c r="E11" s="6" t="n">
        <v>0</v>
      </c>
      <c r="F11" s="12" t="n">
        <f aca="false">F10+E11</f>
        <v>0</v>
      </c>
      <c r="G11" s="34"/>
      <c r="H11" s="24"/>
    </row>
    <row r="12" customFormat="false" ht="25.5" hidden="false" customHeight="true" outlineLevel="0" collapsed="false">
      <c r="B12" s="26" t="s">
        <v>86</v>
      </c>
      <c r="C12" s="32"/>
      <c r="D12" s="33" t="n">
        <f aca="false">IFERROR(CEILING((1000-Setup!D17)/13,1),0)</f>
        <v>77</v>
      </c>
      <c r="E12" s="6" t="n">
        <v>0</v>
      </c>
      <c r="F12" s="12" t="n">
        <f aca="false">F11+E12</f>
        <v>0</v>
      </c>
      <c r="G12" s="34"/>
      <c r="H12" s="24"/>
    </row>
    <row r="13" customFormat="false" ht="25.5" hidden="false" customHeight="true" outlineLevel="0" collapsed="false">
      <c r="B13" s="26" t="s">
        <v>87</v>
      </c>
      <c r="C13" s="32"/>
      <c r="D13" s="33" t="n">
        <f aca="false">IFERROR(CEILING((1000-Setup!D17)/13,1),0)</f>
        <v>77</v>
      </c>
      <c r="E13" s="6" t="n">
        <v>0</v>
      </c>
      <c r="F13" s="12" t="n">
        <f aca="false">F12+E13</f>
        <v>0</v>
      </c>
      <c r="G13" s="34"/>
      <c r="H13" s="24"/>
    </row>
    <row r="14" customFormat="false" ht="25.5" hidden="false" customHeight="true" outlineLevel="0" collapsed="false">
      <c r="B14" s="26" t="s">
        <v>88</v>
      </c>
      <c r="C14" s="32"/>
      <c r="D14" s="33" t="n">
        <f aca="false">IFERROR(CEILING((1000-Setup!D17)/13,1),0)</f>
        <v>77</v>
      </c>
      <c r="E14" s="6" t="n">
        <v>0</v>
      </c>
      <c r="F14" s="12" t="n">
        <f aca="false">F13+E14</f>
        <v>0</v>
      </c>
      <c r="G14" s="34"/>
      <c r="H14" s="24"/>
    </row>
    <row r="15" customFormat="false" ht="25.5" hidden="false" customHeight="true" outlineLevel="0" collapsed="false">
      <c r="B15" s="26" t="s">
        <v>89</v>
      </c>
      <c r="C15" s="32"/>
      <c r="D15" s="33" t="n">
        <f aca="false">IFERROR(CEILING((1000-Setup!D17)/13,1),0)</f>
        <v>77</v>
      </c>
      <c r="E15" s="6" t="n">
        <v>0</v>
      </c>
      <c r="F15" s="12" t="n">
        <f aca="false">F14+E15</f>
        <v>0</v>
      </c>
      <c r="G15" s="34"/>
      <c r="H15" s="24"/>
    </row>
    <row r="16" customFormat="false" ht="25.5" hidden="false" customHeight="true" outlineLevel="0" collapsed="false">
      <c r="B16" s="26" t="s">
        <v>90</v>
      </c>
      <c r="C16" s="32"/>
      <c r="D16" s="33" t="n">
        <f aca="false">IFERROR(CEILING((1000-Setup!D17)/13,1),0)</f>
        <v>77</v>
      </c>
      <c r="E16" s="6" t="n">
        <v>0</v>
      </c>
      <c r="F16" s="12" t="n">
        <f aca="false">F15+E16</f>
        <v>0</v>
      </c>
      <c r="G16" s="34"/>
      <c r="H16" s="24"/>
    </row>
    <row r="17" customFormat="false" ht="25.5" hidden="false" customHeight="true" outlineLevel="0" collapsed="false">
      <c r="B17" s="26" t="s">
        <v>91</v>
      </c>
      <c r="C17" s="32"/>
      <c r="D17" s="33" t="n">
        <f aca="false">IFERROR(CEILING((1000-Setup!D17)/13,1),0)</f>
        <v>77</v>
      </c>
      <c r="E17" s="6" t="n">
        <v>0</v>
      </c>
      <c r="F17" s="12" t="n">
        <f aca="false">F16+E17</f>
        <v>0</v>
      </c>
      <c r="G17" s="34"/>
      <c r="H17" s="24"/>
    </row>
    <row r="18" customFormat="false" ht="25.5" hidden="false" customHeight="true" outlineLevel="0" collapsed="false">
      <c r="B18" s="26" t="s">
        <v>92</v>
      </c>
      <c r="C18" s="32"/>
      <c r="D18" s="33" t="n">
        <f aca="false">IFERROR(CEILING((1000-Setup!D17)/13,1),0)</f>
        <v>77</v>
      </c>
      <c r="E18" s="6" t="n">
        <v>0</v>
      </c>
      <c r="F18" s="12" t="n">
        <f aca="false">F17+E18</f>
        <v>0</v>
      </c>
      <c r="G18" s="34"/>
      <c r="H18" s="24"/>
    </row>
    <row r="19" customFormat="false" ht="27.75" hidden="false" customHeight="true" outlineLevel="0" collapsed="false">
      <c r="B19" s="9" t="s">
        <v>93</v>
      </c>
      <c r="C19" s="35"/>
      <c r="D19" s="36" t="n">
        <f aca="false">SUM(D6:D18)</f>
        <v>1001</v>
      </c>
      <c r="E19" s="36" t="n">
        <f aca="false">SUM(E6:E18)</f>
        <v>0</v>
      </c>
      <c r="F19" s="36" t="n">
        <f aca="false">F18</f>
        <v>0</v>
      </c>
      <c r="G19" s="35"/>
      <c r="H19" s="35"/>
    </row>
    <row r="20" customFormat="false" ht="12" hidden="false" customHeight="true" outlineLevel="0" collapsed="false"/>
    <row r="21" customFormat="false" ht="27.75" hidden="false" customHeight="true" outlineLevel="0" collapsed="false">
      <c r="B21" s="37" t="s">
        <v>94</v>
      </c>
      <c r="C21" s="37"/>
      <c r="D21" s="38" t="str">
        <f aca="false">TEXT(MIN(F18/1000,1),"0%")&amp;" of $1,000 saved"</f>
        <v>0% of $1,000 saved</v>
      </c>
      <c r="E21" s="38"/>
      <c r="F21" s="39" t="str">
        <f aca="false">IF(F18&gt;=1000,"GOAL REACHED!",IF(F18&gt;=750,"Almost there!",IF(F18&gt;=500,"Halfway!","Keep going!")))</f>
        <v>Keep going!</v>
      </c>
      <c r="G21" s="39"/>
      <c r="H21" s="39"/>
    </row>
    <row r="22" customFormat="false" ht="7.5" hidden="false" customHeight="true" outlineLevel="0" collapsed="false"/>
    <row r="23" customFormat="false" ht="21.75" hidden="false" customHeight="true" outlineLevel="0" collapsed="false">
      <c r="B23" s="40" t="s">
        <v>95</v>
      </c>
      <c r="C23" s="40"/>
      <c r="D23" s="40"/>
      <c r="E23" s="40"/>
      <c r="F23" s="40"/>
      <c r="G23" s="40"/>
      <c r="H23" s="40"/>
    </row>
  </sheetData>
  <mergeCells count="6">
    <mergeCell ref="B2:H2"/>
    <mergeCell ref="B3:H3"/>
    <mergeCell ref="B21:C21"/>
    <mergeCell ref="D21:E21"/>
    <mergeCell ref="F21:H21"/>
    <mergeCell ref="B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B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3"/>
  </cols>
  <sheetData>
    <row r="1" customFormat="false" ht="7.5" hidden="false" customHeight="true" outlineLevel="0" collapsed="false"/>
    <row r="2" customFormat="false" ht="43.5" hidden="false" customHeight="true" outlineLevel="0" collapsed="false">
      <c r="B2" s="41" t="s">
        <v>96</v>
      </c>
      <c r="C2" s="41"/>
      <c r="D2" s="41"/>
      <c r="E2" s="41"/>
    </row>
    <row r="3" customFormat="false" ht="13.5" hidden="false" customHeight="true" outlineLevel="0" collapsed="false"/>
    <row r="4" customFormat="false" ht="15" hidden="false" customHeight="true" outlineLevel="0" collapsed="false">
      <c r="B4" s="3" t="s">
        <v>97</v>
      </c>
      <c r="C4" s="3"/>
      <c r="D4" s="3"/>
      <c r="E4" s="3"/>
    </row>
    <row r="5" customFormat="false" ht="24" hidden="false" customHeight="true" outlineLevel="0" collapsed="false">
      <c r="B5" s="5" t="s">
        <v>98</v>
      </c>
      <c r="C5" s="42" t="n">
        <f aca="false">Setup!D6</f>
        <v>4000</v>
      </c>
      <c r="D5" s="10"/>
      <c r="E5" s="10"/>
    </row>
    <row r="6" customFormat="false" ht="24" hidden="false" customHeight="true" outlineLevel="0" collapsed="false">
      <c r="B6" s="5" t="s">
        <v>99</v>
      </c>
      <c r="C6" s="6" t="n">
        <v>0</v>
      </c>
      <c r="D6" s="10"/>
      <c r="E6" s="10"/>
    </row>
    <row r="7" customFormat="false" ht="24" hidden="false" customHeight="true" outlineLevel="0" collapsed="false">
      <c r="B7" s="5" t="s">
        <v>100</v>
      </c>
      <c r="C7" s="6" t="n">
        <v>0</v>
      </c>
      <c r="D7" s="10"/>
      <c r="E7" s="10"/>
    </row>
    <row r="8" customFormat="false" ht="25.5" hidden="false" customHeight="true" outlineLevel="0" collapsed="false">
      <c r="B8" s="20" t="s">
        <v>101</v>
      </c>
      <c r="C8" s="36" t="n">
        <f aca="false">SUM(C5:C7)</f>
        <v>4000</v>
      </c>
      <c r="D8" s="35"/>
      <c r="E8" s="35"/>
    </row>
    <row r="9" customFormat="false" ht="12" hidden="false" customHeight="true" outlineLevel="0" collapsed="false"/>
    <row r="10" customFormat="false" ht="15" hidden="false" customHeight="true" outlineLevel="0" collapsed="false">
      <c r="B10" s="43" t="s">
        <v>102</v>
      </c>
      <c r="C10" s="43"/>
      <c r="D10" s="43"/>
      <c r="E10" s="43"/>
    </row>
    <row r="11" customFormat="false" ht="24" hidden="false" customHeight="true" outlineLevel="0" collapsed="false">
      <c r="B11" s="5" t="s">
        <v>103</v>
      </c>
      <c r="C11" s="42" t="n">
        <f aca="false">Setup!D7*0.35</f>
        <v>980</v>
      </c>
      <c r="D11" s="44" t="s">
        <v>104</v>
      </c>
      <c r="E11" s="44"/>
    </row>
    <row r="12" customFormat="false" ht="24" hidden="false" customHeight="true" outlineLevel="0" collapsed="false">
      <c r="B12" s="5" t="s">
        <v>105</v>
      </c>
      <c r="C12" s="6" t="n">
        <v>0</v>
      </c>
      <c r="D12" s="44"/>
      <c r="E12" s="44"/>
    </row>
    <row r="13" customFormat="false" ht="24" hidden="false" customHeight="true" outlineLevel="0" collapsed="false">
      <c r="B13" s="5" t="s">
        <v>106</v>
      </c>
      <c r="C13" s="6" t="n">
        <v>0</v>
      </c>
      <c r="D13" s="44"/>
      <c r="E13" s="44"/>
    </row>
    <row r="14" customFormat="false" ht="24" hidden="false" customHeight="true" outlineLevel="0" collapsed="false">
      <c r="B14" s="5" t="s">
        <v>107</v>
      </c>
      <c r="C14" s="6" t="n">
        <v>0</v>
      </c>
      <c r="D14" s="44" t="s">
        <v>108</v>
      </c>
      <c r="E14" s="44"/>
    </row>
    <row r="15" customFormat="false" ht="24" hidden="false" customHeight="true" outlineLevel="0" collapsed="false">
      <c r="B15" s="5" t="s">
        <v>109</v>
      </c>
      <c r="C15" s="6" t="n">
        <v>0</v>
      </c>
      <c r="D15" s="44"/>
      <c r="E15" s="44"/>
    </row>
    <row r="16" customFormat="false" ht="24" hidden="false" customHeight="true" outlineLevel="0" collapsed="false">
      <c r="B16" s="5" t="s">
        <v>110</v>
      </c>
      <c r="C16" s="6" t="n">
        <v>0</v>
      </c>
      <c r="D16" s="44" t="s">
        <v>111</v>
      </c>
      <c r="E16" s="44"/>
    </row>
    <row r="17" customFormat="false" ht="24" hidden="false" customHeight="true" outlineLevel="0" collapsed="false">
      <c r="B17" s="5" t="s">
        <v>112</v>
      </c>
      <c r="C17" s="6" t="n">
        <v>0</v>
      </c>
      <c r="D17" s="44" t="s">
        <v>113</v>
      </c>
      <c r="E17" s="44"/>
    </row>
    <row r="18" customFormat="false" ht="24" hidden="false" customHeight="true" outlineLevel="0" collapsed="false">
      <c r="B18" s="5" t="s">
        <v>114</v>
      </c>
      <c r="C18" s="6" t="n">
        <v>0</v>
      </c>
      <c r="D18" s="44"/>
      <c r="E18" s="44"/>
    </row>
    <row r="19" customFormat="false" ht="25.5" hidden="false" customHeight="true" outlineLevel="0" collapsed="false">
      <c r="B19" s="20" t="s">
        <v>115</v>
      </c>
      <c r="C19" s="36" t="n">
        <f aca="false">SUM(C11:C18)</f>
        <v>980</v>
      </c>
      <c r="D19" s="35"/>
      <c r="E19" s="35"/>
    </row>
    <row r="20" customFormat="false" ht="12" hidden="false" customHeight="true" outlineLevel="0" collapsed="false"/>
    <row r="21" customFormat="false" ht="30" hidden="false" customHeight="true" outlineLevel="0" collapsed="false">
      <c r="B21" s="45" t="s">
        <v>116</v>
      </c>
      <c r="C21" s="45"/>
      <c r="D21" s="45"/>
      <c r="E21" s="45"/>
    </row>
    <row r="22" customFormat="false" ht="27.75" hidden="false" customHeight="true" outlineLevel="0" collapsed="false">
      <c r="B22" s="46" t="s">
        <v>117</v>
      </c>
      <c r="C22" s="47" t="n">
        <f aca="false">C8-C19</f>
        <v>3020</v>
      </c>
      <c r="D22" s="48"/>
      <c r="E22" s="48"/>
    </row>
    <row r="23" customFormat="false" ht="27.75" hidden="false" customHeight="true" outlineLevel="0" collapsed="false">
      <c r="B23" s="46" t="s">
        <v>24</v>
      </c>
      <c r="C23" s="47" t="n">
        <f aca="false">ROUND(C22/4.33,0)</f>
        <v>697</v>
      </c>
      <c r="D23" s="48"/>
      <c r="E23" s="48"/>
    </row>
    <row r="24" customFormat="false" ht="27.75" hidden="false" customHeight="true" outlineLevel="0" collapsed="false">
      <c r="B24" s="46" t="s">
        <v>118</v>
      </c>
      <c r="C24" s="47" t="n">
        <f aca="false">ROUND(C22/30,0)</f>
        <v>101</v>
      </c>
      <c r="D24" s="48"/>
      <c r="E24" s="48"/>
    </row>
    <row r="25" customFormat="false" ht="9.75" hidden="false" customHeight="true" outlineLevel="0" collapsed="false"/>
    <row r="26" customFormat="false" ht="21.75" hidden="false" customHeight="true" outlineLevel="0" collapsed="false">
      <c r="B26" s="40" t="s">
        <v>119</v>
      </c>
      <c r="C26" s="40"/>
      <c r="D26" s="40"/>
      <c r="E26" s="40"/>
    </row>
  </sheetData>
  <mergeCells count="21">
    <mergeCell ref="B2:E2"/>
    <mergeCell ref="B4:E4"/>
    <mergeCell ref="D5:E5"/>
    <mergeCell ref="D6:E6"/>
    <mergeCell ref="D7:E7"/>
    <mergeCell ref="D8:E8"/>
    <mergeCell ref="B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B21:E21"/>
    <mergeCell ref="D22:E22"/>
    <mergeCell ref="D23:E23"/>
    <mergeCell ref="D24:E24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7DD"/>
    <pageSetUpPr fitToPage="false"/>
  </sheetPr>
  <dimension ref="B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5" min="4" style="0" width="16"/>
    <col collapsed="false" customWidth="true" hidden="false" outlineLevel="0" max="6" min="6" style="0" width="36"/>
    <col collapsed="false" customWidth="true" hidden="false" outlineLevel="0" max="7" min="7" style="0" width="3"/>
  </cols>
  <sheetData>
    <row r="1" customFormat="false" ht="7.5" hidden="false" customHeight="true" outlineLevel="0" collapsed="false"/>
    <row r="2" customFormat="false" ht="43.5" hidden="false" customHeight="true" outlineLevel="0" collapsed="false">
      <c r="B2" s="31" t="s">
        <v>120</v>
      </c>
      <c r="C2" s="31"/>
      <c r="D2" s="31"/>
      <c r="E2" s="31"/>
      <c r="F2" s="31"/>
    </row>
    <row r="3" customFormat="false" ht="21.75" hidden="false" customHeight="true" outlineLevel="0" collapsed="false">
      <c r="B3" s="2" t="s">
        <v>121</v>
      </c>
      <c r="C3" s="2"/>
      <c r="D3" s="2"/>
      <c r="E3" s="2"/>
      <c r="F3" s="2"/>
    </row>
    <row r="4" customFormat="false" ht="12" hidden="false" customHeight="true" outlineLevel="0" collapsed="false"/>
    <row r="5" customFormat="false" ht="27.75" hidden="false" customHeight="true" outlineLevel="0" collapsed="false">
      <c r="B5" s="9" t="s">
        <v>122</v>
      </c>
      <c r="C5" s="9" t="s">
        <v>123</v>
      </c>
      <c r="D5" s="9" t="s">
        <v>124</v>
      </c>
      <c r="E5" s="9" t="s">
        <v>125</v>
      </c>
      <c r="F5" s="9" t="s">
        <v>126</v>
      </c>
    </row>
    <row r="6" customFormat="false" ht="31.5" hidden="false" customHeight="true" outlineLevel="0" collapsed="false">
      <c r="B6" s="49"/>
      <c r="C6" s="50" t="s">
        <v>127</v>
      </c>
      <c r="D6" s="51" t="s">
        <v>128</v>
      </c>
      <c r="E6" s="29" t="s">
        <v>129</v>
      </c>
      <c r="F6" s="52" t="s">
        <v>130</v>
      </c>
    </row>
    <row r="7" customFormat="false" ht="31.5" hidden="false" customHeight="true" outlineLevel="0" collapsed="false">
      <c r="B7" s="49"/>
      <c r="C7" s="53" t="s">
        <v>131</v>
      </c>
      <c r="D7" s="54" t="s">
        <v>132</v>
      </c>
      <c r="E7" s="29" t="s">
        <v>133</v>
      </c>
      <c r="F7" s="24" t="s">
        <v>134</v>
      </c>
    </row>
    <row r="8" customFormat="false" ht="31.5" hidden="false" customHeight="true" outlineLevel="0" collapsed="false">
      <c r="B8" s="49"/>
      <c r="C8" s="50" t="s">
        <v>135</v>
      </c>
      <c r="D8" s="51" t="s">
        <v>136</v>
      </c>
      <c r="E8" s="25" t="s">
        <v>137</v>
      </c>
      <c r="F8" s="52" t="s">
        <v>138</v>
      </c>
    </row>
    <row r="9" customFormat="false" ht="31.5" hidden="false" customHeight="true" outlineLevel="0" collapsed="false">
      <c r="B9" s="49"/>
      <c r="C9" s="53" t="s">
        <v>139</v>
      </c>
      <c r="D9" s="54" t="s">
        <v>140</v>
      </c>
      <c r="E9" s="29" t="s">
        <v>141</v>
      </c>
      <c r="F9" s="24" t="s">
        <v>142</v>
      </c>
    </row>
    <row r="10" customFormat="false" ht="31.5" hidden="false" customHeight="true" outlineLevel="0" collapsed="false">
      <c r="B10" s="49"/>
      <c r="C10" s="50" t="s">
        <v>143</v>
      </c>
      <c r="D10" s="51" t="s">
        <v>144</v>
      </c>
      <c r="E10" s="25" t="s">
        <v>145</v>
      </c>
      <c r="F10" s="52" t="s">
        <v>146</v>
      </c>
    </row>
    <row r="11" customFormat="false" ht="31.5" hidden="false" customHeight="true" outlineLevel="0" collapsed="false">
      <c r="B11" s="49"/>
      <c r="C11" s="53" t="s">
        <v>147</v>
      </c>
      <c r="D11" s="54" t="s">
        <v>148</v>
      </c>
      <c r="E11" s="29" t="s">
        <v>149</v>
      </c>
      <c r="F11" s="24" t="s">
        <v>150</v>
      </c>
    </row>
    <row r="12" customFormat="false" ht="31.5" hidden="false" customHeight="true" outlineLevel="0" collapsed="false">
      <c r="B12" s="49"/>
      <c r="C12" s="50" t="s">
        <v>151</v>
      </c>
      <c r="D12" s="51" t="s">
        <v>144</v>
      </c>
      <c r="E12" s="28" t="s">
        <v>152</v>
      </c>
      <c r="F12" s="52" t="s">
        <v>153</v>
      </c>
    </row>
    <row r="13" customFormat="false" ht="31.5" hidden="false" customHeight="true" outlineLevel="0" collapsed="false">
      <c r="B13" s="49"/>
      <c r="C13" s="53" t="s">
        <v>154</v>
      </c>
      <c r="D13" s="54" t="s">
        <v>155</v>
      </c>
      <c r="E13" s="29" t="s">
        <v>149</v>
      </c>
      <c r="F13" s="24" t="s">
        <v>156</v>
      </c>
    </row>
    <row r="14" customFormat="false" ht="31.5" hidden="false" customHeight="true" outlineLevel="0" collapsed="false">
      <c r="B14" s="49"/>
      <c r="C14" s="50" t="s">
        <v>157</v>
      </c>
      <c r="D14" s="51" t="s">
        <v>158</v>
      </c>
      <c r="E14" s="29" t="s">
        <v>129</v>
      </c>
      <c r="F14" s="52" t="s">
        <v>159</v>
      </c>
    </row>
    <row r="15" customFormat="false" ht="31.5" hidden="false" customHeight="true" outlineLevel="0" collapsed="false">
      <c r="B15" s="49"/>
      <c r="C15" s="53" t="s">
        <v>160</v>
      </c>
      <c r="D15" s="54" t="s">
        <v>161</v>
      </c>
      <c r="E15" s="28" t="s">
        <v>162</v>
      </c>
      <c r="F15" s="24" t="s">
        <v>163</v>
      </c>
    </row>
    <row r="16" customFormat="false" ht="31.5" hidden="false" customHeight="true" outlineLevel="0" collapsed="false">
      <c r="B16" s="49"/>
      <c r="C16" s="50" t="s">
        <v>164</v>
      </c>
      <c r="D16" s="51" t="s">
        <v>165</v>
      </c>
      <c r="E16" s="28" t="s">
        <v>166</v>
      </c>
      <c r="F16" s="52" t="s">
        <v>167</v>
      </c>
    </row>
    <row r="17" customFormat="false" ht="31.5" hidden="false" customHeight="true" outlineLevel="0" collapsed="false">
      <c r="B17" s="49"/>
      <c r="C17" s="53" t="s">
        <v>168</v>
      </c>
      <c r="D17" s="54" t="s">
        <v>169</v>
      </c>
      <c r="E17" s="55" t="s">
        <v>170</v>
      </c>
      <c r="F17" s="24" t="s">
        <v>171</v>
      </c>
    </row>
    <row r="18" customFormat="false" ht="9.75" hidden="false" customHeight="true" outlineLevel="0" collapsed="false"/>
    <row r="19" customFormat="false" ht="21.75" hidden="false" customHeight="true" outlineLevel="0" collapsed="false">
      <c r="B19" s="40" t="s">
        <v>172</v>
      </c>
      <c r="C19" s="40"/>
      <c r="D19" s="40"/>
      <c r="E19" s="40"/>
      <c r="F19" s="40"/>
    </row>
  </sheetData>
  <mergeCells count="3">
    <mergeCell ref="B2:F2"/>
    <mergeCell ref="B3:F3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A7517"/>
    <pageSetUpPr fitToPage="false"/>
  </sheetPr>
  <dimension ref="B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3"/>
  </cols>
  <sheetData>
    <row r="1" customFormat="false" ht="7.5" hidden="false" customHeight="true" outlineLevel="0" collapsed="false"/>
    <row r="2" customFormat="false" ht="43.5" hidden="false" customHeight="true" outlineLevel="0" collapsed="false">
      <c r="B2" s="31" t="s">
        <v>173</v>
      </c>
      <c r="C2" s="31"/>
      <c r="D2" s="31"/>
    </row>
    <row r="3" customFormat="false" ht="25.5" hidden="false" customHeight="true" outlineLevel="0" collapsed="false">
      <c r="B3" s="56" t="str">
        <f aca="false">IF(Setup!D10="","Fill in Input 5 on Setup tab","Your obstacle: "&amp;Setup!D10)</f>
        <v>Your obstacle: Spend before save</v>
      </c>
      <c r="C3" s="56"/>
      <c r="D3" s="56"/>
    </row>
    <row r="4" customFormat="false" ht="13.5" hidden="false" customHeight="true" outlineLevel="0" collapsed="false"/>
    <row r="5" customFormat="false" ht="30" hidden="false" customHeight="true" outlineLevel="0" collapsed="false">
      <c r="B5" s="57" t="s">
        <v>174</v>
      </c>
      <c r="C5" s="57"/>
      <c r="D5" s="57"/>
    </row>
    <row r="6" customFormat="false" ht="45.75" hidden="false" customHeight="true" outlineLevel="0" collapsed="false">
      <c r="B6" s="58" t="s">
        <v>33</v>
      </c>
      <c r="C6" s="59" t="s">
        <v>175</v>
      </c>
      <c r="D6" s="16" t="s">
        <v>176</v>
      </c>
    </row>
    <row r="7" customFormat="false" ht="45.75" hidden="false" customHeight="true" outlineLevel="0" collapsed="false">
      <c r="B7" s="58" t="s">
        <v>33</v>
      </c>
      <c r="C7" s="59" t="s">
        <v>177</v>
      </c>
      <c r="D7" s="16" t="s">
        <v>178</v>
      </c>
    </row>
    <row r="8" customFormat="false" ht="45.75" hidden="false" customHeight="true" outlineLevel="0" collapsed="false">
      <c r="B8" s="58" t="s">
        <v>33</v>
      </c>
      <c r="C8" s="59" t="s">
        <v>179</v>
      </c>
      <c r="D8" s="16" t="s">
        <v>180</v>
      </c>
    </row>
    <row r="9" customFormat="false" ht="45.75" hidden="false" customHeight="true" outlineLevel="0" collapsed="false">
      <c r="B9" s="58" t="s">
        <v>33</v>
      </c>
      <c r="C9" s="59" t="s">
        <v>181</v>
      </c>
      <c r="D9" s="16" t="s">
        <v>182</v>
      </c>
    </row>
    <row r="10" customFormat="false" ht="45.75" hidden="false" customHeight="true" outlineLevel="0" collapsed="false">
      <c r="B10" s="58" t="s">
        <v>33</v>
      </c>
      <c r="C10" s="59" t="s">
        <v>183</v>
      </c>
      <c r="D10" s="16" t="s">
        <v>184</v>
      </c>
    </row>
    <row r="11" customFormat="false" ht="7.5" hidden="false" customHeight="true" outlineLevel="0" collapsed="false"/>
    <row r="12" customFormat="false" ht="30" hidden="false" customHeight="true" outlineLevel="0" collapsed="false">
      <c r="B12" s="60" t="s">
        <v>185</v>
      </c>
      <c r="C12" s="60"/>
      <c r="D12" s="60"/>
    </row>
    <row r="13" customFormat="false" ht="45.75" hidden="false" customHeight="true" outlineLevel="0" collapsed="false">
      <c r="B13" s="61" t="s">
        <v>33</v>
      </c>
      <c r="C13" s="62" t="s">
        <v>186</v>
      </c>
      <c r="D13" s="22" t="s">
        <v>187</v>
      </c>
    </row>
    <row r="14" customFormat="false" ht="45.75" hidden="false" customHeight="true" outlineLevel="0" collapsed="false">
      <c r="B14" s="61" t="s">
        <v>33</v>
      </c>
      <c r="C14" s="62" t="s">
        <v>188</v>
      </c>
      <c r="D14" s="22" t="s">
        <v>189</v>
      </c>
    </row>
    <row r="15" customFormat="false" ht="45.75" hidden="false" customHeight="true" outlineLevel="0" collapsed="false">
      <c r="B15" s="61" t="s">
        <v>33</v>
      </c>
      <c r="C15" s="62" t="s">
        <v>190</v>
      </c>
      <c r="D15" s="22" t="s">
        <v>191</v>
      </c>
    </row>
    <row r="16" customFormat="false" ht="45.75" hidden="false" customHeight="true" outlineLevel="0" collapsed="false">
      <c r="B16" s="61" t="s">
        <v>33</v>
      </c>
      <c r="C16" s="62" t="s">
        <v>192</v>
      </c>
      <c r="D16" s="22" t="s">
        <v>193</v>
      </c>
    </row>
    <row r="17" customFormat="false" ht="45.75" hidden="false" customHeight="true" outlineLevel="0" collapsed="false">
      <c r="B17" s="61" t="s">
        <v>33</v>
      </c>
      <c r="C17" s="62" t="s">
        <v>194</v>
      </c>
      <c r="D17" s="22" t="s">
        <v>195</v>
      </c>
    </row>
    <row r="18" customFormat="false" ht="7.5" hidden="false" customHeight="true" outlineLevel="0" collapsed="false"/>
    <row r="19" customFormat="false" ht="30" hidden="false" customHeight="true" outlineLevel="0" collapsed="false">
      <c r="B19" s="57" t="s">
        <v>196</v>
      </c>
      <c r="C19" s="57"/>
      <c r="D19" s="57"/>
    </row>
    <row r="20" customFormat="false" ht="45.75" hidden="false" customHeight="true" outlineLevel="0" collapsed="false">
      <c r="B20" s="58" t="s">
        <v>33</v>
      </c>
      <c r="C20" s="59" t="s">
        <v>197</v>
      </c>
      <c r="D20" s="16" t="s">
        <v>198</v>
      </c>
    </row>
    <row r="21" customFormat="false" ht="45.75" hidden="false" customHeight="true" outlineLevel="0" collapsed="false">
      <c r="B21" s="58" t="s">
        <v>33</v>
      </c>
      <c r="C21" s="59" t="s">
        <v>199</v>
      </c>
      <c r="D21" s="16" t="s">
        <v>200</v>
      </c>
    </row>
    <row r="22" customFormat="false" ht="45.75" hidden="false" customHeight="true" outlineLevel="0" collapsed="false">
      <c r="B22" s="58" t="s">
        <v>33</v>
      </c>
      <c r="C22" s="59" t="s">
        <v>201</v>
      </c>
      <c r="D22" s="16" t="s">
        <v>202</v>
      </c>
    </row>
    <row r="23" customFormat="false" ht="45.75" hidden="false" customHeight="true" outlineLevel="0" collapsed="false">
      <c r="B23" s="58" t="s">
        <v>33</v>
      </c>
      <c r="C23" s="59" t="s">
        <v>203</v>
      </c>
      <c r="D23" s="16" t="s">
        <v>204</v>
      </c>
    </row>
    <row r="24" customFormat="false" ht="45.75" hidden="false" customHeight="true" outlineLevel="0" collapsed="false">
      <c r="B24" s="58" t="s">
        <v>33</v>
      </c>
      <c r="C24" s="59" t="s">
        <v>205</v>
      </c>
      <c r="D24" s="16" t="s">
        <v>206</v>
      </c>
    </row>
    <row r="25" customFormat="false" ht="7.5" hidden="false" customHeight="true" outlineLevel="0" collapsed="false"/>
    <row r="26" customFormat="false" ht="30" hidden="false" customHeight="true" outlineLevel="0" collapsed="false">
      <c r="B26" s="60" t="s">
        <v>207</v>
      </c>
      <c r="C26" s="60"/>
      <c r="D26" s="60"/>
    </row>
    <row r="27" customFormat="false" ht="45.75" hidden="false" customHeight="true" outlineLevel="0" collapsed="false">
      <c r="B27" s="61" t="s">
        <v>33</v>
      </c>
      <c r="C27" s="62" t="s">
        <v>208</v>
      </c>
      <c r="D27" s="22" t="s">
        <v>209</v>
      </c>
    </row>
    <row r="28" customFormat="false" ht="45.75" hidden="false" customHeight="true" outlineLevel="0" collapsed="false">
      <c r="B28" s="61" t="s">
        <v>33</v>
      </c>
      <c r="C28" s="62" t="s">
        <v>210</v>
      </c>
      <c r="D28" s="22" t="s">
        <v>211</v>
      </c>
    </row>
    <row r="29" customFormat="false" ht="45.75" hidden="false" customHeight="true" outlineLevel="0" collapsed="false">
      <c r="B29" s="61" t="s">
        <v>33</v>
      </c>
      <c r="C29" s="62" t="s">
        <v>212</v>
      </c>
      <c r="D29" s="22" t="s">
        <v>213</v>
      </c>
    </row>
    <row r="30" customFormat="false" ht="45.75" hidden="false" customHeight="true" outlineLevel="0" collapsed="false">
      <c r="B30" s="61" t="s">
        <v>33</v>
      </c>
      <c r="C30" s="62" t="s">
        <v>214</v>
      </c>
      <c r="D30" s="22" t="s">
        <v>215</v>
      </c>
    </row>
    <row r="31" customFormat="false" ht="45.75" hidden="false" customHeight="true" outlineLevel="0" collapsed="false">
      <c r="B31" s="61" t="s">
        <v>33</v>
      </c>
      <c r="C31" s="62" t="s">
        <v>216</v>
      </c>
      <c r="D31" s="22" t="s">
        <v>217</v>
      </c>
    </row>
    <row r="32" customFormat="false" ht="7.5" hidden="false" customHeight="true" outlineLevel="0" collapsed="false"/>
  </sheetData>
  <mergeCells count="6">
    <mergeCell ref="B2:D2"/>
    <mergeCell ref="B3:D3"/>
    <mergeCell ref="B5:D5"/>
    <mergeCell ref="B12:D12"/>
    <mergeCell ref="B19:D19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8522"/>
    <pageSetUpPr fitToPage="false"/>
  </sheetPr>
  <dimension ref="B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3"/>
  </cols>
  <sheetData>
    <row r="1" customFormat="false" ht="7.5" hidden="false" customHeight="true" outlineLevel="0" collapsed="false"/>
    <row r="2" customFormat="false" ht="43.5" hidden="false" customHeight="true" outlineLevel="0" collapsed="false">
      <c r="B2" s="31" t="s">
        <v>218</v>
      </c>
      <c r="C2" s="31"/>
      <c r="D2" s="31"/>
      <c r="E2" s="31"/>
    </row>
    <row r="3" customFormat="false" ht="21.75" hidden="false" customHeight="true" outlineLevel="0" collapsed="false">
      <c r="B3" s="2" t="s">
        <v>219</v>
      </c>
      <c r="C3" s="2"/>
      <c r="D3" s="2"/>
      <c r="E3" s="2"/>
    </row>
    <row r="4" customFormat="false" ht="13.5" hidden="false" customHeight="true" outlineLevel="0" collapsed="false"/>
    <row r="5" customFormat="false" ht="27.75" hidden="false" customHeight="true" outlineLevel="0" collapsed="false">
      <c r="B5" s="17" t="s">
        <v>220</v>
      </c>
      <c r="C5" s="17" t="s">
        <v>221</v>
      </c>
      <c r="D5" s="17" t="s">
        <v>222</v>
      </c>
      <c r="E5" s="17" t="s">
        <v>78</v>
      </c>
    </row>
    <row r="6" customFormat="false" ht="55.5" hidden="false" customHeight="true" outlineLevel="0" collapsed="false">
      <c r="B6" s="63" t="s">
        <v>223</v>
      </c>
      <c r="C6" s="64" t="s">
        <v>224</v>
      </c>
      <c r="D6" s="65" t="s">
        <v>225</v>
      </c>
      <c r="E6" s="8"/>
    </row>
    <row r="7" customFormat="false" ht="55.5" hidden="false" customHeight="true" outlineLevel="0" collapsed="false">
      <c r="B7" s="63" t="s">
        <v>226</v>
      </c>
      <c r="C7" s="53" t="s">
        <v>227</v>
      </c>
      <c r="D7" s="24" t="s">
        <v>228</v>
      </c>
      <c r="E7" s="8"/>
    </row>
    <row r="8" customFormat="false" ht="55.5" hidden="false" customHeight="true" outlineLevel="0" collapsed="false">
      <c r="B8" s="63" t="s">
        <v>229</v>
      </c>
      <c r="C8" s="64" t="s">
        <v>230</v>
      </c>
      <c r="D8" s="65" t="s">
        <v>231</v>
      </c>
      <c r="E8" s="8"/>
    </row>
    <row r="9" customFormat="false" ht="55.5" hidden="false" customHeight="true" outlineLevel="0" collapsed="false">
      <c r="B9" s="63" t="s">
        <v>232</v>
      </c>
      <c r="C9" s="53" t="s">
        <v>233</v>
      </c>
      <c r="D9" s="24" t="s">
        <v>234</v>
      </c>
      <c r="E9" s="8"/>
    </row>
    <row r="10" customFormat="false" ht="55.5" hidden="false" customHeight="true" outlineLevel="0" collapsed="false">
      <c r="B10" s="63" t="s">
        <v>235</v>
      </c>
      <c r="C10" s="64" t="s">
        <v>236</v>
      </c>
      <c r="D10" s="65" t="s">
        <v>237</v>
      </c>
      <c r="E10" s="8"/>
    </row>
    <row r="11" customFormat="false" ht="12" hidden="false" customHeight="true" outlineLevel="0" collapsed="false"/>
    <row r="12" customFormat="false" ht="25.5" hidden="false" customHeight="true" outlineLevel="0" collapsed="false">
      <c r="B12" s="40" t="s">
        <v>238</v>
      </c>
      <c r="C12" s="40"/>
      <c r="D12" s="40"/>
      <c r="E12" s="40"/>
    </row>
    <row r="13" customFormat="false" ht="12" hidden="false" customHeight="true" outlineLevel="0" collapsed="false"/>
    <row r="14" customFormat="false" ht="30" hidden="false" customHeight="true" outlineLevel="0" collapsed="false">
      <c r="B14" s="66" t="s">
        <v>239</v>
      </c>
      <c r="C14" s="66"/>
      <c r="D14" s="66"/>
      <c r="E14" s="66"/>
    </row>
  </sheetData>
  <mergeCells count="4">
    <mergeCell ref="B2:E2"/>
    <mergeCell ref="B3:E3"/>
    <mergeCell ref="B12:E12"/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2026-04-01T14:43:35Z</dcterms:created>
  <dc:creator>openpyxl</dc:creator>
  <dc:description/>
  <dc:language>en-US</dc:language>
  <cp:lastModifiedBy/>
  <dcterms:modified xsi:type="dcterms:W3CDTF">2026-04-01T14:43:35Z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