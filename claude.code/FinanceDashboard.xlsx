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💼 Business Revenue" sheetId="2" state="visible" r:id="rId4"/>
    <sheet name="💳 Expenses" sheetId="3" state="visible" r:id="rId5"/>
    <sheet name="📅 Budget" sheetId="4" state="visible" r:id="rId6"/>
    <sheet name="💰 Savings Goals" sheetId="5" state="visible" r:id="rId7"/>
    <sheet name="🏦 Debt Tracker" sheetId="6" state="visible" r:id="rId8"/>
    <sheet name="📈 Net Worth" sheetId="7" state="visible" r:id="rId9"/>
    <sheet name="🧾 Tax Estimat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<sst xmlns="http://schemas.openxmlformats.org/spreadsheetml/2006/main" count="278" uniqueCount="213">
  <si>
    <t xml:space="preserve">💼 Cash in Blue LLC — Personal Finance Dashboard</t>
  </si>
  <si>
    <t xml:space="preserve">Owner: Thomas Perdana  |  Updated: March 2026</t>
  </si>
  <si>
    <t xml:space="preserve">Net Worth</t>
  </si>
  <si>
    <t xml:space="preserve">Monthly Revenue</t>
  </si>
  <si>
    <t xml:space="preserve">Monthly Expenses</t>
  </si>
  <si>
    <t xml:space="preserve">Savings Rate</t>
  </si>
  <si>
    <t xml:space="preserve">Total Debt</t>
  </si>
  <si>
    <t xml:space="preserve">Cash on Hand</t>
  </si>
  <si>
    <t xml:space="preserve">  📊 Revenue by Stream (This Month)</t>
  </si>
  <si>
    <t xml:space="preserve">Revenue Stream</t>
  </si>
  <si>
    <t xml:space="preserve">Target ($)</t>
  </si>
  <si>
    <t xml:space="preserve">Actual ($)</t>
  </si>
  <si>
    <t xml:space="preserve">% of Target</t>
  </si>
  <si>
    <t xml:space="preserve">GEO/SEO Clients</t>
  </si>
  <si>
    <t xml:space="preserve">Life Insurance Commissions</t>
  </si>
  <si>
    <t xml:space="preserve">Loan Referrals</t>
  </si>
  <si>
    <t xml:space="preserve">AI Partnerships</t>
  </si>
  <si>
    <t xml:space="preserve">Other</t>
  </si>
  <si>
    <t xml:space="preserve">TOTAL</t>
  </si>
  <si>
    <t xml:space="preserve">  💰 Savings Goals</t>
  </si>
  <si>
    <t xml:space="preserve">Goal</t>
  </si>
  <si>
    <t xml:space="preserve">Progress</t>
  </si>
  <si>
    <t xml:space="preserve">Target</t>
  </si>
  <si>
    <t xml:space="preserve">Emergency Fund</t>
  </si>
  <si>
    <t xml:space="preserve">First $100K</t>
  </si>
  <si>
    <t xml:space="preserve">Investment Fund</t>
  </si>
  <si>
    <t xml:space="preserve">💼 Business Revenue — Cash in Blue LLC</t>
  </si>
  <si>
    <t xml:space="preserve">Monthly Summary</t>
  </si>
  <si>
    <t xml:space="preserve">Total Revenue ($):</t>
  </si>
  <si>
    <t xml:space="preserve">Total Expenses ($):</t>
  </si>
  <si>
    <t xml:space="preserve">Net Profit ($):</t>
  </si>
  <si>
    <t xml:space="preserve">  Income Streams</t>
  </si>
  <si>
    <t xml:space="preserve">This Month ($)</t>
  </si>
  <si>
    <t xml:space="preserve">YTD ($)</t>
  </si>
  <si>
    <t xml:space="preserve">Target (Mo)</t>
  </si>
  <si>
    <t xml:space="preserve">vs Target</t>
  </si>
  <si>
    <t xml:space="preserve">Notes</t>
  </si>
  <si>
    <t xml:space="preserve">Other / Misc</t>
  </si>
  <si>
    <t xml:space="preserve">  Monthly Revenue Log</t>
  </si>
  <si>
    <t xml:space="preserve">Month</t>
  </si>
  <si>
    <t xml:space="preserve">GEO/SEO</t>
  </si>
  <si>
    <t xml:space="preserve">Insurance</t>
  </si>
  <si>
    <t xml:space="preserve">Loans</t>
  </si>
  <si>
    <t xml:space="preserve">AI Partners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</si>
  <si>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</si>
  <si>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</si>
  <si>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</si>
  <si>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</si>
  <si>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</si>
  <si>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</si>
  <si>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</si>
  <si>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</si>
  <si>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</si>
  <si>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</si>
  <si>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</si>
  <si>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</si>
  <si>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</si>
  <si>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💳 Expense Tracker — Personal &amp; Business</t>
  </si>
  <si>
    <t xml:space="preserve">LLC Deductible Total:</t>
  </si>
  <si>
    <t xml:space="preserve">  Expense Log</t>
  </si>
  <si>
    <t xml:space="preserve">Date</t>
  </si>
  <si>
    <t xml:space="preserve">Category</t>
  </si>
  <si>
    <t xml:space="preserve">Description</t>
  </si>
  <si>
    <t xml:space="preserve">Type</t>
  </si>
  <si>
    <t xml:space="preserve">Amount ($)</t>
  </si>
  <si>
    <t xml:space="preserve">LLC Deductible?</t>
  </si>
  <si>
    <t xml:space="preserve">2026-03-01</t>
  </si>
  <si>
    <t xml:space="preserve">Housing</t>
  </si>
  <si>
    <t xml:space="preserve">Rent</t>
  </si>
  <si>
    <t xml:space="preserve">Personal</t>
  </si>
  <si>
    <t xml:space="preserve">No</t>
  </si>
  <si>
    <t xml:space="preserve">Utilities</t>
  </si>
  <si>
    <t xml:space="preserve">Electric / Internet</t>
  </si>
  <si>
    <t xml:space="preserve">2026-03-05</t>
  </si>
  <si>
    <t xml:space="preserve">Food</t>
  </si>
  <si>
    <t xml:space="preserve">Groceries</t>
  </si>
  <si>
    <t xml:space="preserve">2026-03-10</t>
  </si>
  <si>
    <t xml:space="preserve">Transport</t>
  </si>
  <si>
    <t xml:space="preserve">Car insurance</t>
  </si>
  <si>
    <t xml:space="preserve">2026-03-12</t>
  </si>
  <si>
    <t xml:space="preserve">Health</t>
  </si>
  <si>
    <t xml:space="preserve">Gym membership</t>
  </si>
  <si>
    <t xml:space="preserve">2026-03-15</t>
  </si>
  <si>
    <t xml:space="preserve">Subscriptions</t>
  </si>
  <si>
    <t xml:space="preserve">Netflix / Spotify</t>
  </si>
  <si>
    <t xml:space="preserve">Marketing</t>
  </si>
  <si>
    <t xml:space="preserve">Google Ads — GEO</t>
  </si>
  <si>
    <t xml:space="preserve">Business</t>
  </si>
  <si>
    <t xml:space="preserve">Yes</t>
  </si>
  <si>
    <t xml:space="preserve">Advertising</t>
  </si>
  <si>
    <t xml:space="preserve">2026-03-16</t>
  </si>
  <si>
    <t xml:space="preserve">Software</t>
  </si>
  <si>
    <t xml:space="preserve">CRM subscription</t>
  </si>
  <si>
    <t xml:space="preserve">Tools</t>
  </si>
  <si>
    <t xml:space="preserve">2026-03-18</t>
  </si>
  <si>
    <t xml:space="preserve">Education</t>
  </si>
  <si>
    <t xml:space="preserve">Online course</t>
  </si>
  <si>
    <t xml:space="preserve">Professional dev</t>
  </si>
  <si>
    <t xml:space="preserve">2026-03-20</t>
  </si>
  <si>
    <t xml:space="preserve">Phone</t>
  </si>
  <si>
    <t xml:space="preserve">Business phone plan</t>
  </si>
  <si>
    <t xml:space="preserve">2026-03-22</t>
  </si>
  <si>
    <t xml:space="preserve">Meals</t>
  </si>
  <si>
    <t xml:space="preserve">Client lunch</t>
  </si>
  <si>
    <t xml:space="preserve">50% deductible</t>
  </si>
  <si>
    <t xml:space="preserve">2026-03-25</t>
  </si>
  <si>
    <t xml:space="preserve">Office</t>
  </si>
  <si>
    <t xml:space="preserve">Supplies</t>
  </si>
  <si>
    <t xml:space="preserve">📅 Monthly Budget — Actual vs. Target</t>
  </si>
  <si>
    <t xml:space="preserve">Budget ($)</t>
  </si>
  <si>
    <t xml:space="preserve">Variance ($)</t>
  </si>
  <si>
    <t xml:space="preserve">Variance %</t>
  </si>
  <si>
    <t xml:space="preserve">Status</t>
  </si>
  <si>
    <t xml:space="preserve">Food / Groceries</t>
  </si>
  <si>
    <t xml:space="preserve">Marketing (Biz)</t>
  </si>
  <si>
    <t xml:space="preserve">Software (Biz)</t>
  </si>
  <si>
    <t xml:space="preserve">Meals / Ent.</t>
  </si>
  <si>
    <t xml:space="preserve">Office Supplies</t>
  </si>
  <si>
    <t xml:space="preserve">Miscellaneous</t>
  </si>
  <si>
    <t xml:space="preserve">0</t>
  </si>
  <si>
    <t xml:space="preserve">💰 Savings Goals — Progress Tracker</t>
  </si>
  <si>
    <t xml:space="preserve">Goal Name</t>
  </si>
  <si>
    <t xml:space="preserve">Saved ($)</t>
  </si>
  <si>
    <t xml:space="preserve">Remaining ($)</t>
  </si>
  <si>
    <t xml:space="preserve">% Complete</t>
  </si>
  <si>
    <t xml:space="preserve">Monthly Add</t>
  </si>
  <si>
    <t xml:space="preserve">ETA (months)</t>
  </si>
  <si>
    <t xml:space="preserve">Emergency Fund (3 mo.)</t>
  </si>
  <si>
    <t xml:space="preserve">First $100K Milestone</t>
  </si>
  <si>
    <t xml:space="preserve">Investment / Brokerage</t>
  </si>
  <si>
    <t xml:space="preserve">Vehicle Down Payment</t>
  </si>
  <si>
    <t xml:space="preserve">Vacation / Travel Fund</t>
  </si>
  <si>
    <t xml:space="preserve">🏦 Debt Tracker — Payoff Planner</t>
  </si>
  <si>
    <t xml:space="preserve">Total Debt ($):</t>
  </si>
  <si>
    <t xml:space="preserve">Total Monthly Payments:</t>
  </si>
  <si>
    <t xml:space="preserve">Creditor</t>
  </si>
  <si>
    <t xml:space="preserve">Balance ($)</t>
  </si>
  <si>
    <t xml:space="preserve">APR (%)</t>
  </si>
  <si>
    <t xml:space="preserve">Min Payment ($)</t>
  </si>
  <si>
    <t xml:space="preserve">Extra ($)</t>
  </si>
  <si>
    <t xml:space="preserve">Total Payment</t>
  </si>
  <si>
    <t xml:space="preserve">Payoff Date</t>
  </si>
  <si>
    <t xml:space="preserve">Chase Sapphire</t>
  </si>
  <si>
    <t xml:space="preserve">Credit Card</t>
  </si>
  <si>
    <t xml:space="preserve">Capital One</t>
  </si>
  <si>
    <t xml:space="preserve">Student Loan</t>
  </si>
  <si>
    <t xml:space="preserve">Federal Loan</t>
  </si>
  <si>
    <t xml:space="preserve">Car Note</t>
  </si>
  <si>
    <t xml:space="preserve">Auto Loan</t>
  </si>
  <si>
    <t xml:space="preserve">Personal Loan</t>
  </si>
  <si>
    <t xml:space="preserve">Installment</t>
  </si>
  <si>
    <t xml:space="preserve">📈 Net Worth Tracker — Assets vs. Liabilities</t>
  </si>
  <si>
    <t xml:space="preserve">  ASSETS</t>
  </si>
  <si>
    <t xml:space="preserve">Asset</t>
  </si>
  <si>
    <t xml:space="preserve">Value ($)</t>
  </si>
  <si>
    <t xml:space="preserve">Checking Account</t>
  </si>
  <si>
    <t xml:space="preserve">Cash</t>
  </si>
  <si>
    <t xml:space="preserve">Savings Account</t>
  </si>
  <si>
    <t xml:space="preserve">Business Checking</t>
  </si>
  <si>
    <t xml:space="preserve">Brokerage / Investments</t>
  </si>
  <si>
    <t xml:space="preserve">Investments</t>
  </si>
  <si>
    <t xml:space="preserve">401k / Retirement</t>
  </si>
  <si>
    <t xml:space="preserve">Retirement</t>
  </si>
  <si>
    <t xml:space="preserve">Vehicle (est. value)</t>
  </si>
  <si>
    <t xml:space="preserve">Property</t>
  </si>
  <si>
    <t xml:space="preserve">Other Assets</t>
  </si>
  <si>
    <t xml:space="preserve">TOTAL ASSETS</t>
  </si>
  <si>
    <t xml:space="preserve">  LIABILITIES</t>
  </si>
  <si>
    <t xml:space="preserve">Liability</t>
  </si>
  <si>
    <t xml:space="preserve">Credit Card (Chase)</t>
  </si>
  <si>
    <t xml:space="preserve">Credit Card (CapOne)</t>
  </si>
  <si>
    <t xml:space="preserve">TOTAL LIABILITIES</t>
  </si>
  <si>
    <t xml:space="preserve">NET WORTH</t>
  </si>
  <si>
    <t xml:space="preserve">  Monthly Snapshot Log</t>
  </si>
  <si>
    <t xml:space="preserve">Total Assets ($)</t>
  </si>
  <si>
    <t xml:space="preserve">Total Liabilities ($)</t>
  </si>
  <si>
    <t xml:space="preserve">Net Worth ($)</t>
  </si>
  <si>
    <t xml:space="preserve">Change ($)</t>
  </si>
  <si>
    <t xml:space="preserve">Jan 2026</t>
  </si>
  <si>
    <t xml:space="preserve">-</t>
  </si>
  <si>
    <t xml:space="preserve">Feb 2026</t>
  </si>
  <si>
    <t xml:space="preserve">Mar 2026</t>
  </si>
  <si>
    <t xml:space="preserve">🧾 Tax Estimate — Self-Employment &amp; Quarterly Payments</t>
  </si>
  <si>
    <t xml:space="preserve">  Assumptions (Blue = Edit Me)</t>
  </si>
  <si>
    <t xml:space="preserve">Annual Gross Revenue ($)</t>
  </si>
  <si>
    <t xml:space="preserve">LLC Deductible Expenses ($)</t>
  </si>
  <si>
    <t xml:space="preserve">Other Deductions (Standard / QBI) ($)</t>
  </si>
  <si>
    <t xml:space="preserve">SE Tax Rate</t>
  </si>
  <si>
    <t xml:space="preserve">Federal Income Tax Rate (est.)</t>
  </si>
  <si>
    <t xml:space="preserve">State Income Tax Rate</t>
  </si>
  <si>
    <t xml:space="preserve">  Calculated Tax Figures</t>
  </si>
  <si>
    <t xml:space="preserve">Net Self-Employment Income</t>
  </si>
  <si>
    <t xml:space="preserve">SE Tax (×15.3%)</t>
  </si>
  <si>
    <t xml:space="preserve">SE Tax Deduction (½ SE tax)</t>
  </si>
  <si>
    <t xml:space="preserve">QBI Deduction (20% of net)</t>
  </si>
  <si>
    <t xml:space="preserve">Adjusted Gross Income</t>
  </si>
  <si>
    <t xml:space="preserve">Estimated Federal Income Tax</t>
  </si>
  <si>
    <t xml:space="preserve">State Income Tax</t>
  </si>
  <si>
    <t xml:space="preserve">TOTAL TAX DUE (Annual)</t>
  </si>
  <si>
    <t xml:space="preserve">Effective Rate</t>
  </si>
  <si>
    <t xml:space="preserve">  Quarterly Estimated Payments</t>
  </si>
  <si>
    <t xml:space="preserve">Quarter</t>
  </si>
  <si>
    <t xml:space="preserve">Due Date</t>
  </si>
  <si>
    <t xml:space="preserve">Payment ($)</t>
  </si>
  <si>
    <t xml:space="preserve">Paid ($)</t>
  </si>
  <si>
    <t xml:space="preserve">Q1 2026</t>
  </si>
  <si>
    <t xml:space="preserve">Apr 15, 2026</t>
  </si>
  <si>
    <t xml:space="preserve">Q2 2026</t>
  </si>
  <si>
    <t xml:space="preserve">Jun 16, 2026</t>
  </si>
  <si>
    <t xml:space="preserve">Q3 2026</t>
  </si>
  <si>
    <t xml:space="preserve">Sep 15, 2026</t>
  </si>
  <si>
    <t xml:space="preserve">Q4 2026</t>
  </si>
  <si>
    <t xml:space="preserve">Jan 15, 2027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</si>
</sst>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@"/>
    <numFmt numFmtId="168" formatCode="\$#,##0;&quot;($&quot;#,##0\);\-"/>
    <numFmt numFmtId="169" formatCode="0.0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3"/>
      <color rgb="FFC62828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E7C8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D4AF3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4F6F9"/>
        <bgColor rgb="FFE8F5E9"/>
      </patternFill>
    </fill>
    <fill>
      <patternFill patternType="solid">
        <fgColor rgb="FF0E7C86"/>
        <bgColor rgb="FF008080"/>
      </patternFill>
    </fill>
    <fill>
      <patternFill patternType="solid">
        <fgColor rgb="FFE8F5E9"/>
        <bgColor rgb="FFF4F6F9"/>
      </patternFill>
    </fill>
    <fill>
      <patternFill patternType="solid">
        <fgColor rgb="FFFFEBEE"/>
        <bgColor rgb="FFF4F6F9"/>
      </patternFill>
    </fill>
    <fill>
      <patternFill patternType="solid">
        <fgColor rgb="FFFFF8DC"/>
        <bgColor rgb="FFF4F6F9"/>
      </patternFill>
    </fill>
    <fill>
      <patternFill patternType="solid">
        <fgColor rgb="FFD6F0F2"/>
        <bgColor rgb="FFE8F5E9"/>
      </patternFill>
    </fill>
    <fill>
      <patternFill patternType="solid">
        <fgColor rgb="FFFFFFFF"/>
        <bgColor rgb="FFF4F6F9"/>
      </patternFill>
    </fill>
    <fill>
      <patternFill patternType="solid">
        <fgColor rgb="FFC62828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 diagonalUp="false" diagonalDown="false"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FF8DC"/>
      <rgbColor rgb="FFD6F0F2"/>
      <rgbColor rgb="FF660066"/>
      <rgbColor rgb="FFFF8080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6F9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20"/>
    <col collapsed="false" customWidth="true" hidden="false" outlineLevel="0" max="8" min="7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3.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customFormat="false" ht="30" hidden="false" customHeight="true" outlineLevel="0" collapsed="false">
      <c r="B5" s="5" t="str">
        <f aca="false">'📈 Net Worth'!C5</f>
        <v>Cash</v>
      </c>
      <c r="C5" s="6" t="n">
        <f aca="false">'💼 Business Revenue'!C3</f>
        <v>30000</v>
      </c>
      <c r="D5" s="7" t="n">
        <f aca="false">'💳 Expenses'!C3</f>
        <v>3421</v>
      </c>
      <c r="E5" s="8" t="n">
        <f aca="false">IF('💼 Business Revenue'!C3=0,0,('💼 Business Revenue'!C3-'💳 Expenses'!C3)/'💼 Business Revenue'!C3)</f>
        <v>0.885966666666667</v>
      </c>
      <c r="F5" s="7" t="n">
        <f aca="false">'🏦 Debt Tracker'!C3</f>
        <v>60200</v>
      </c>
      <c r="G5" s="9" t="str">
        <f aca="false">B5</f>
        <v>Cash</v>
      </c>
    </row>
    <row r="6" customFormat="false" ht="15" hidden="false" customHeight="false" outlineLevel="0" collapsed="false">
      <c r="B6" s="10"/>
      <c r="C6" s="11"/>
      <c r="D6" s="12"/>
      <c r="E6" s="13"/>
      <c r="F6" s="12"/>
      <c r="G6" s="14"/>
    </row>
    <row r="8" customFormat="false" ht="3.75" hidden="false" customHeight="true" outlineLevel="0" collapsed="false">
      <c r="A8" s="15" t="s">
        <v>8</v>
      </c>
      <c r="B8" s="15"/>
      <c r="C8" s="15"/>
      <c r="D8" s="15"/>
    </row>
    <row r="9" customFormat="false" ht="15" hidden="false" customHeight="false" outlineLevel="0" collapsed="false">
      <c r="A9" s="16" t="s">
        <v>9</v>
      </c>
      <c r="B9" s="16" t="s">
        <v>10</v>
      </c>
      <c r="C9" s="16" t="s">
        <v>11</v>
      </c>
      <c r="D9" s="16" t="s">
        <v>12</v>
      </c>
    </row>
    <row r="10" customFormat="false" ht="15" hidden="false" customHeight="false" outlineLevel="0" collapsed="false">
      <c r="A10" s="17" t="s">
        <v>13</v>
      </c>
      <c r="B10" s="18" t="n">
        <v>3000</v>
      </c>
      <c r="C10" s="19" t="n">
        <f aca="false">'💼 Business Revenue'!C9</f>
        <v>12600</v>
      </c>
      <c r="D10" s="20" t="n">
        <f aca="false">IF(B10=0,0,C10/B10)</f>
        <v>4.2</v>
      </c>
    </row>
    <row r="11" customFormat="false" ht="15" hidden="false" customHeight="false" outlineLevel="0" collapsed="false">
      <c r="A11" s="21" t="s">
        <v>14</v>
      </c>
      <c r="B11" s="22" t="n">
        <v>2000</v>
      </c>
      <c r="C11" s="23" t="n">
        <f aca="false">'💼 Business Revenue'!C10</f>
        <v>5400</v>
      </c>
      <c r="D11" s="24" t="n">
        <f aca="false">IF(B11=0,0,C11/B11)</f>
        <v>2.7</v>
      </c>
    </row>
    <row r="12" customFormat="false" ht="15" hidden="false" customHeight="false" outlineLevel="0" collapsed="false">
      <c r="A12" s="17" t="s">
        <v>15</v>
      </c>
      <c r="B12" s="18" t="n">
        <v>1500</v>
      </c>
      <c r="C12" s="19" t="n">
        <f aca="false">'💼 Business Revenue'!C11</f>
        <v>3600</v>
      </c>
      <c r="D12" s="20" t="n">
        <f aca="false">IF(B12=0,0,C12/B12)</f>
        <v>2.4</v>
      </c>
    </row>
    <row r="13" customFormat="false" ht="15" hidden="false" customHeight="false" outlineLevel="0" collapsed="false">
      <c r="A13" s="21" t="s">
        <v>16</v>
      </c>
      <c r="B13" s="22" t="n">
        <v>2500</v>
      </c>
      <c r="C13" s="23" t="n">
        <f aca="false">'💼 Business Revenue'!C12</f>
        <v>7500</v>
      </c>
      <c r="D13" s="24" t="n">
        <f aca="false">IF(B13=0,0,C13/B13)</f>
        <v>3</v>
      </c>
    </row>
    <row r="14" customFormat="false" ht="15" hidden="false" customHeight="false" outlineLevel="0" collapsed="false">
      <c r="A14" s="17" t="s">
        <v>17</v>
      </c>
      <c r="B14" s="18" t="n">
        <v>500</v>
      </c>
      <c r="C14" s="19" t="n">
        <f aca="false">'💼 Business Revenue'!C13</f>
        <v>900</v>
      </c>
      <c r="D14" s="20" t="n">
        <f aca="false">IF(B14=0,0,C14/B14)</f>
        <v>1.8</v>
      </c>
    </row>
    <row r="15" customFormat="false" ht="15" hidden="false" customHeight="false" outlineLevel="0" collapsed="false">
      <c r="A15" s="25" t="s">
        <v>18</v>
      </c>
      <c r="B15" s="26" t="n">
        <f aca="false">SUM(B10:B14)</f>
        <v>9500</v>
      </c>
      <c r="C15" s="26" t="n">
        <f aca="false">SUM(C10:C14)</f>
        <v>30000</v>
      </c>
      <c r="D15" s="27" t="n">
        <f aca="false">IF(B15=0,0,C15/B15)</f>
        <v>3.15789473684211</v>
      </c>
    </row>
    <row r="17" customFormat="false" ht="3.75" hidden="false" customHeight="true" outlineLevel="0" collapsed="false">
      <c r="F17" s="15" t="s">
        <v>19</v>
      </c>
      <c r="G17" s="15"/>
      <c r="H17" s="15"/>
    </row>
    <row r="18" customFormat="false" ht="15" hidden="false" customHeight="false" outlineLevel="0" collapsed="false">
      <c r="A18" s="28" t="s">
        <v>20</v>
      </c>
      <c r="B18" s="28" t="s">
        <v>21</v>
      </c>
      <c r="C18" s="28" t="s">
        <v>22</v>
      </c>
    </row>
    <row r="19" customFormat="false" ht="15" hidden="false" customHeight="false" outlineLevel="0" collapsed="false">
      <c r="F19" s="29" t="s">
        <v>23</v>
      </c>
      <c r="G19" s="30" t="n">
        <f aca="false">'💰 Savings Goals'!C9</f>
        <v>28200</v>
      </c>
      <c r="H19" s="30" t="n">
        <f aca="false">'💰 Savings Goals'!B9</f>
        <v>145000</v>
      </c>
    </row>
    <row r="20" customFormat="false" ht="15" hidden="false" customHeight="false" outlineLevel="0" collapsed="false">
      <c r="F20" s="31" t="s">
        <v>24</v>
      </c>
      <c r="G20" s="32" t="n">
        <f aca="false">'💰 Savings Goals'!C10</f>
        <v>0</v>
      </c>
      <c r="H20" s="32" t="n">
        <f aca="false">'💰 Savings Goals'!B10</f>
        <v>0</v>
      </c>
    </row>
    <row r="21" customFormat="false" ht="15" hidden="false" customHeight="false" outlineLevel="0" collapsed="false">
      <c r="F21" s="29" t="s">
        <v>25</v>
      </c>
      <c r="G21" s="30" t="n">
        <f aca="false">'💰 Savings Goals'!C11</f>
        <v>0</v>
      </c>
      <c r="H21" s="30" t="n">
        <f aca="false">'💰 Savings Goals'!B11</f>
        <v>0</v>
      </c>
    </row>
  </sheetData>
  <mergeCells count="5">
    <mergeCell ref="A1:H1"/>
    <mergeCell ref="A2:H2"/>
    <mergeCell ref="A3:H3"/>
    <mergeCell ref="A8:D8"/>
    <mergeCell ref="F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33" t="s">
        <v>26</v>
      </c>
      <c r="B1" s="33"/>
      <c r="C1" s="33"/>
      <c r="D1" s="33"/>
      <c r="E1" s="33"/>
      <c r="F1" s="33"/>
      <c r="G1" s="33"/>
    </row>
    <row r="2" customFormat="false" ht="15" hidden="false" customHeight="false" outlineLevel="0" collapsed="false">
      <c r="A2" s="34" t="s">
        <v>27</v>
      </c>
      <c r="B2" s="34"/>
      <c r="C2" s="34"/>
      <c r="D2" s="34"/>
      <c r="E2" s="34"/>
      <c r="F2" s="34"/>
      <c r="G2" s="34"/>
    </row>
    <row r="3" customFormat="false" ht="15" hidden="false" customHeight="false" outlineLevel="0" collapsed="false">
      <c r="A3" s="35" t="s">
        <v>28</v>
      </c>
      <c r="C3" s="36" t="n">
        <f aca="false">SUM(C9:C13)</f>
        <v>30000</v>
      </c>
    </row>
    <row r="4" customFormat="false" ht="15" hidden="false" customHeight="false" outlineLevel="0" collapsed="false">
      <c r="A4" s="35" t="s">
        <v>29</v>
      </c>
      <c r="C4" s="36" t="n">
        <f aca="false">'💳 Expenses'!C3</f>
        <v>3421</v>
      </c>
    </row>
    <row r="5" customFormat="false" ht="15" hidden="false" customHeight="false" outlineLevel="0" collapsed="false">
      <c r="A5" s="35" t="s">
        <v>30</v>
      </c>
      <c r="C5" s="37" t="n">
        <f aca="false">C3-C4</f>
        <v>26579</v>
      </c>
    </row>
    <row r="6" customFormat="false" ht="6" hidden="false" customHeight="true" outlineLevel="0" collapsed="false"/>
    <row r="7" customFormat="false" ht="15" hidden="false" customHeight="false" outlineLevel="0" collapsed="false">
      <c r="A7" s="38" t="s">
        <v>31</v>
      </c>
      <c r="B7" s="38"/>
      <c r="C7" s="38"/>
      <c r="D7" s="38"/>
      <c r="E7" s="38"/>
      <c r="F7" s="38"/>
      <c r="G7" s="38"/>
    </row>
    <row r="8" customFormat="false" ht="15" hidden="false" customHeight="false" outlineLevel="0" collapsed="false">
      <c r="A8" s="39" t="s">
        <v>9</v>
      </c>
      <c r="B8" s="39" t="s">
        <v>32</v>
      </c>
      <c r="C8" s="39" t="s">
        <v>33</v>
      </c>
      <c r="D8" s="39" t="s">
        <v>34</v>
      </c>
      <c r="E8" s="39" t="s">
        <v>35</v>
      </c>
      <c r="F8" s="39" t="s">
        <v>36</v>
      </c>
    </row>
    <row r="9" customFormat="false" ht="15" hidden="false" customHeight="false" outlineLevel="0" collapsed="false">
      <c r="A9" s="21" t="s">
        <v>13</v>
      </c>
      <c r="B9" s="22" t="n">
        <v>4200</v>
      </c>
      <c r="C9" s="22" t="n">
        <v>12600</v>
      </c>
      <c r="D9" s="22" t="n">
        <v>4000</v>
      </c>
      <c r="E9" s="24" t="n">
        <f aca="false">IF(D9=0,0,B9/D9-1)</f>
        <v>0.05</v>
      </c>
      <c r="F9" s="29"/>
    </row>
    <row r="10" customFormat="false" ht="15" hidden="false" customHeight="false" outlineLevel="0" collapsed="false">
      <c r="A10" s="17" t="s">
        <v>14</v>
      </c>
      <c r="B10" s="18" t="n">
        <v>1800</v>
      </c>
      <c r="C10" s="18" t="n">
        <v>5400</v>
      </c>
      <c r="D10" s="18" t="n">
        <v>2000</v>
      </c>
      <c r="E10" s="20" t="n">
        <f aca="false">IF(D10=0,0,B10/D10-1)</f>
        <v>-0.1</v>
      </c>
      <c r="F10" s="31"/>
    </row>
    <row r="11" customFormat="false" ht="15" hidden="false" customHeight="false" outlineLevel="0" collapsed="false">
      <c r="A11" s="21" t="s">
        <v>15</v>
      </c>
      <c r="B11" s="22" t="n">
        <v>1200</v>
      </c>
      <c r="C11" s="22" t="n">
        <v>3600</v>
      </c>
      <c r="D11" s="22" t="n">
        <v>1500</v>
      </c>
      <c r="E11" s="24" t="n">
        <f aca="false">IF(D11=0,0,B11/D11-1)</f>
        <v>-0.2</v>
      </c>
      <c r="F11" s="29"/>
    </row>
    <row r="12" customFormat="false" ht="15" hidden="false" customHeight="false" outlineLevel="0" collapsed="false">
      <c r="A12" s="17" t="s">
        <v>16</v>
      </c>
      <c r="B12" s="18" t="n">
        <v>2500</v>
      </c>
      <c r="C12" s="18" t="n">
        <v>7500</v>
      </c>
      <c r="D12" s="18" t="n">
        <v>2500</v>
      </c>
      <c r="E12" s="20" t="n">
        <f aca="false">IF(D12=0,0,B12/D12-1)</f>
        <v>0</v>
      </c>
      <c r="F12" s="31"/>
    </row>
    <row r="13" customFormat="false" ht="15" hidden="false" customHeight="false" outlineLevel="0" collapsed="false">
      <c r="A13" s="21" t="s">
        <v>37</v>
      </c>
      <c r="B13" s="22" t="n">
        <v>300</v>
      </c>
      <c r="C13" s="22" t="n">
        <v>900</v>
      </c>
      <c r="D13" s="22" t="n">
        <v>500</v>
      </c>
      <c r="E13" s="24" t="n">
        <f aca="false">IF(D13=0,0,B13/D13-1)</f>
        <v>-0.4</v>
      </c>
      <c r="F13" s="29"/>
    </row>
    <row r="14" customFormat="false" ht="15" hidden="false" customHeight="false" outlineLevel="0" collapsed="false">
      <c r="A14" s="40" t="s">
        <v>18</v>
      </c>
      <c r="B14" s="26" t="n">
        <f aca="false">SUM(B9:B13)</f>
        <v>10000</v>
      </c>
      <c r="C14" s="26" t="n">
        <f aca="false">SUM(C9:C13)</f>
        <v>30000</v>
      </c>
      <c r="D14" s="26" t="n">
        <f aca="false">SUM(D9:D13)</f>
        <v>10500</v>
      </c>
      <c r="E14" s="27" t="n">
        <f aca="false">IF(D14=0,0,B14/D14-1)</f>
        <v>-0.0476190476190477</v>
      </c>
      <c r="F14" s="40"/>
    </row>
    <row r="16" customFormat="false" ht="6" hidden="false" customHeight="true" outlineLevel="0" collapsed="false"/>
    <row r="17" customFormat="false" ht="15" hidden="false" customHeight="false" outlineLevel="0" collapsed="false">
      <c r="A17" s="38" t="s">
        <v>38</v>
      </c>
      <c r="B17" s="38"/>
      <c r="C17" s="38"/>
      <c r="D17" s="38"/>
      <c r="E17" s="38"/>
      <c r="F17" s="38"/>
      <c r="G17" s="38"/>
    </row>
    <row r="18" customFormat="false" ht="15" hidden="false" customHeight="false" outlineLevel="0" collapsed="false">
      <c r="A18" s="39" t="s">
        <v>39</v>
      </c>
      <c r="B18" s="39" t="s">
        <v>40</v>
      </c>
      <c r="C18" s="39" t="s">
        <v>41</v>
      </c>
      <c r="D18" s="39" t="s">
        <v>42</v>
      </c>
      <c r="E18" s="39" t="s">
        <v>43</v>
      </c>
      <c r="F18" s="39" t="s">
        <v>17</v>
      </c>
      <c r="G18" s="39" t="s">
        <v>44</v>
      </c>
    </row>
    <row r="19" customFormat="false" ht="15" hidden="false" customHeight="false" outlineLevel="0" collapsed="false">
      <c r="A19" s="29" t="s">
        <v>45</v>
      </c>
      <c r="B19" s="22" t="n">
        <v>0</v>
      </c>
      <c r="C19" s="22" t="n">
        <v>0</v>
      </c>
      <c r="D19" s="22" t="n">
        <v>0</v>
      </c>
      <c r="E19" s="22" t="n">
        <v>0</v>
      </c>
      <c r="F19" s="22" t="n">
        <v>0</v>
      </c>
      <c r="G19" s="41" t="n">
        <f aca="false">SUM(B19:F19)</f>
        <v>0</v>
      </c>
    </row>
    <row r="20" customFormat="false" ht="15" hidden="false" customHeight="false" outlineLevel="0" collapsed="false">
      <c r="A20" s="31" t="s">
        <v>46</v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42" t="n">
        <f aca="false">SUM(B20:F20)</f>
        <v>0</v>
      </c>
    </row>
    <row r="21" customFormat="false" ht="15" hidden="false" customHeight="false" outlineLevel="0" collapsed="false">
      <c r="A21" s="29" t="s">
        <v>47</v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41" t="n">
        <f aca="false">SUM(B21:F21)</f>
        <v>0</v>
      </c>
    </row>
    <row r="22" customFormat="false" ht="15" hidden="false" customHeight="false" outlineLevel="0" collapsed="false">
      <c r="A22" s="31" t="s">
        <v>48</v>
      </c>
      <c r="B22" s="18" t="n">
        <v>0</v>
      </c>
      <c r="C22" s="18" t="n">
        <v>0</v>
      </c>
      <c r="D22" s="18" t="n">
        <v>0</v>
      </c>
      <c r="E22" s="18" t="n">
        <v>0</v>
      </c>
      <c r="F22" s="18" t="n">
        <v>0</v>
      </c>
      <c r="G22" s="42" t="n">
        <f aca="false">SUM(B22:F22)</f>
        <v>0</v>
      </c>
    </row>
    <row r="23" customFormat="false" ht="15" hidden="false" customHeight="false" outlineLevel="0" collapsed="false">
      <c r="A23" s="29" t="s">
        <v>49</v>
      </c>
      <c r="B23" s="22" t="n">
        <v>0</v>
      </c>
      <c r="C23" s="22" t="n">
        <v>0</v>
      </c>
      <c r="D23" s="22" t="n">
        <v>0</v>
      </c>
      <c r="E23" s="22" t="n">
        <v>0</v>
      </c>
      <c r="F23" s="22" t="n">
        <v>0</v>
      </c>
      <c r="G23" s="41" t="n">
        <f aca="false">SUM(B23:F23)</f>
        <v>0</v>
      </c>
    </row>
    <row r="24" customFormat="false" ht="15" hidden="false" customHeight="false" outlineLevel="0" collapsed="false">
      <c r="A24" s="31" t="s">
        <v>50</v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42" t="n">
        <f aca="false">SUM(B24:F24)</f>
        <v>0</v>
      </c>
    </row>
    <row r="25" customFormat="false" ht="15" hidden="false" customHeight="false" outlineLevel="0" collapsed="false">
      <c r="A25" s="29" t="s">
        <v>51</v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41" t="n">
        <f aca="false">SUM(B25:F25)</f>
        <v>0</v>
      </c>
    </row>
    <row r="26" customFormat="false" ht="15" hidden="false" customHeight="false" outlineLevel="0" collapsed="false">
      <c r="A26" s="31" t="s">
        <v>52</v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42" t="n">
        <f aca="false">SUM(B26:F26)</f>
        <v>0</v>
      </c>
    </row>
    <row r="27" customFormat="false" ht="15" hidden="false" customHeight="false" outlineLevel="0" collapsed="false">
      <c r="A27" s="29" t="s">
        <v>53</v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41" t="n">
        <f aca="false">SUM(B27:F27)</f>
        <v>0</v>
      </c>
    </row>
    <row r="28" customFormat="false" ht="15" hidden="false" customHeight="false" outlineLevel="0" collapsed="false">
      <c r="A28" s="31" t="s">
        <v>54</v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42" t="n">
        <f aca="false">SUM(B28:F28)</f>
        <v>0</v>
      </c>
    </row>
    <row r="29" customFormat="false" ht="15" hidden="false" customHeight="false" outlineLevel="0" collapsed="false">
      <c r="A29" s="29" t="s">
        <v>55</v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</v>
      </c>
      <c r="G29" s="41" t="n">
        <f aca="false">SUM(B29:F29)</f>
        <v>0</v>
      </c>
    </row>
    <row r="30" customFormat="false" ht="15" hidden="false" customHeight="false" outlineLevel="0" collapsed="false">
      <c r="A30" s="31" t="s">
        <v>56</v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42" t="n">
        <f aca="false">SUM(B30:F30)</f>
        <v>0</v>
      </c>
    </row>
  </sheetData>
  <mergeCells count="4">
    <mergeCell ref="A1:G1"/>
    <mergeCell ref="A2:G2"/>
    <mergeCell ref="A7:G7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0" hidden="false" customHeight="true" outlineLevel="0" collapsed="false">
      <c r="A1" s="33" t="s">
        <v>57</v>
      </c>
      <c r="B1" s="33"/>
      <c r="C1" s="33"/>
      <c r="D1" s="33"/>
      <c r="E1" s="33"/>
      <c r="F1" s="33"/>
      <c r="G1" s="33"/>
    </row>
    <row r="3" customFormat="false" ht="15" hidden="false" customHeight="false" outlineLevel="0" collapsed="false">
      <c r="A3" s="35" t="s">
        <v>29</v>
      </c>
      <c r="C3" s="43" t="n">
        <f aca="false">SUM(E9:E40)</f>
        <v>3421</v>
      </c>
    </row>
    <row r="4" customFormat="false" ht="15" hidden="false" customHeight="false" outlineLevel="0" collapsed="false">
      <c r="A4" s="35" t="s">
        <v>58</v>
      </c>
      <c r="C4" s="44" t="n">
        <f aca="false">SUMIF(F9:F40,"Yes",E9:E40)</f>
        <v>891</v>
      </c>
    </row>
    <row r="6" customFormat="false" ht="6" hidden="false" customHeight="true" outlineLevel="0" collapsed="false"/>
    <row r="7" customFormat="false" ht="15" hidden="false" customHeight="false" outlineLevel="0" collapsed="false">
      <c r="A7" s="38" t="s">
        <v>59</v>
      </c>
      <c r="B7" s="38"/>
      <c r="C7" s="38"/>
      <c r="D7" s="38"/>
      <c r="E7" s="38"/>
      <c r="F7" s="38"/>
      <c r="G7" s="38"/>
    </row>
    <row r="8" customFormat="false" ht="15" hidden="false" customHeight="false" outlineLevel="0" collapsed="false">
      <c r="A8" s="39" t="s">
        <v>60</v>
      </c>
      <c r="B8" s="39" t="s">
        <v>61</v>
      </c>
      <c r="C8" s="39" t="s">
        <v>62</v>
      </c>
      <c r="D8" s="39" t="s">
        <v>63</v>
      </c>
      <c r="E8" s="39" t="s">
        <v>64</v>
      </c>
      <c r="F8" s="39" t="s">
        <v>65</v>
      </c>
      <c r="G8" s="39" t="s">
        <v>36</v>
      </c>
    </row>
    <row r="9" customFormat="false" ht="15" hidden="false" customHeight="false" outlineLevel="0" collapsed="false">
      <c r="A9" s="21" t="s">
        <v>66</v>
      </c>
      <c r="B9" s="21" t="s">
        <v>67</v>
      </c>
      <c r="C9" s="21" t="s">
        <v>68</v>
      </c>
      <c r="D9" s="21" t="s">
        <v>69</v>
      </c>
      <c r="E9" s="22" t="n">
        <v>1800</v>
      </c>
      <c r="F9" s="45" t="s">
        <v>70</v>
      </c>
      <c r="G9" s="21"/>
    </row>
    <row r="10" customFormat="false" ht="15" hidden="false" customHeight="false" outlineLevel="0" collapsed="false">
      <c r="A10" s="17" t="s">
        <v>66</v>
      </c>
      <c r="B10" s="17" t="s">
        <v>71</v>
      </c>
      <c r="C10" s="17" t="s">
        <v>72</v>
      </c>
      <c r="D10" s="17" t="s">
        <v>69</v>
      </c>
      <c r="E10" s="18" t="n">
        <v>180</v>
      </c>
      <c r="F10" s="46" t="s">
        <v>70</v>
      </c>
      <c r="G10" s="17"/>
    </row>
    <row r="11" customFormat="false" ht="15" hidden="false" customHeight="false" outlineLevel="0" collapsed="false">
      <c r="A11" s="21" t="s">
        <v>73</v>
      </c>
      <c r="B11" s="21" t="s">
        <v>74</v>
      </c>
      <c r="C11" s="21" t="s">
        <v>75</v>
      </c>
      <c r="D11" s="21" t="s">
        <v>69</v>
      </c>
      <c r="E11" s="22" t="n">
        <v>350</v>
      </c>
      <c r="F11" s="45" t="s">
        <v>70</v>
      </c>
      <c r="G11" s="21"/>
    </row>
    <row r="12" customFormat="false" ht="15" hidden="false" customHeight="false" outlineLevel="0" collapsed="false">
      <c r="A12" s="17" t="s">
        <v>76</v>
      </c>
      <c r="B12" s="17" t="s">
        <v>77</v>
      </c>
      <c r="C12" s="17" t="s">
        <v>78</v>
      </c>
      <c r="D12" s="17" t="s">
        <v>69</v>
      </c>
      <c r="E12" s="18" t="n">
        <v>120</v>
      </c>
      <c r="F12" s="46" t="s">
        <v>70</v>
      </c>
      <c r="G12" s="17"/>
    </row>
    <row r="13" customFormat="false" ht="15" hidden="false" customHeight="false" outlineLevel="0" collapsed="false">
      <c r="A13" s="21" t="s">
        <v>79</v>
      </c>
      <c r="B13" s="21" t="s">
        <v>80</v>
      </c>
      <c r="C13" s="21" t="s">
        <v>81</v>
      </c>
      <c r="D13" s="21" t="s">
        <v>69</v>
      </c>
      <c r="E13" s="22" t="n">
        <v>50</v>
      </c>
      <c r="F13" s="45" t="s">
        <v>70</v>
      </c>
      <c r="G13" s="21"/>
    </row>
    <row r="14" customFormat="false" ht="15" hidden="false" customHeight="false" outlineLevel="0" collapsed="false">
      <c r="A14" s="17" t="s">
        <v>82</v>
      </c>
      <c r="B14" s="17" t="s">
        <v>83</v>
      </c>
      <c r="C14" s="17" t="s">
        <v>84</v>
      </c>
      <c r="D14" s="17" t="s">
        <v>69</v>
      </c>
      <c r="E14" s="18" t="n">
        <v>30</v>
      </c>
      <c r="F14" s="46" t="s">
        <v>70</v>
      </c>
      <c r="G14" s="17"/>
    </row>
    <row r="15" customFormat="false" ht="15" hidden="false" customHeight="false" outlineLevel="0" collapsed="false">
      <c r="A15" s="21" t="s">
        <v>82</v>
      </c>
      <c r="B15" s="21" t="s">
        <v>85</v>
      </c>
      <c r="C15" s="21" t="s">
        <v>86</v>
      </c>
      <c r="D15" s="21" t="s">
        <v>87</v>
      </c>
      <c r="E15" s="22" t="n">
        <v>400</v>
      </c>
      <c r="F15" s="47" t="s">
        <v>88</v>
      </c>
      <c r="G15" s="21" t="s">
        <v>89</v>
      </c>
    </row>
    <row r="16" customFormat="false" ht="15" hidden="false" customHeight="false" outlineLevel="0" collapsed="false">
      <c r="A16" s="17" t="s">
        <v>90</v>
      </c>
      <c r="B16" s="17" t="s">
        <v>91</v>
      </c>
      <c r="C16" s="17" t="s">
        <v>92</v>
      </c>
      <c r="D16" s="17" t="s">
        <v>87</v>
      </c>
      <c r="E16" s="18" t="n">
        <v>99</v>
      </c>
      <c r="F16" s="48" t="s">
        <v>88</v>
      </c>
      <c r="G16" s="17" t="s">
        <v>93</v>
      </c>
    </row>
    <row r="17" customFormat="false" ht="15" hidden="false" customHeight="false" outlineLevel="0" collapsed="false">
      <c r="A17" s="21" t="s">
        <v>94</v>
      </c>
      <c r="B17" s="21" t="s">
        <v>95</v>
      </c>
      <c r="C17" s="21" t="s">
        <v>96</v>
      </c>
      <c r="D17" s="21" t="s">
        <v>87</v>
      </c>
      <c r="E17" s="22" t="n">
        <v>197</v>
      </c>
      <c r="F17" s="47" t="s">
        <v>88</v>
      </c>
      <c r="G17" s="21" t="s">
        <v>97</v>
      </c>
    </row>
    <row r="18" customFormat="false" ht="15" hidden="false" customHeight="false" outlineLevel="0" collapsed="false">
      <c r="A18" s="17" t="s">
        <v>98</v>
      </c>
      <c r="B18" s="17" t="s">
        <v>99</v>
      </c>
      <c r="C18" s="17" t="s">
        <v>100</v>
      </c>
      <c r="D18" s="17" t="s">
        <v>87</v>
      </c>
      <c r="E18" s="18" t="n">
        <v>65</v>
      </c>
      <c r="F18" s="48" t="s">
        <v>88</v>
      </c>
      <c r="G18" s="17"/>
    </row>
    <row r="19" customFormat="false" ht="15" hidden="false" customHeight="false" outlineLevel="0" collapsed="false">
      <c r="A19" s="21" t="s">
        <v>101</v>
      </c>
      <c r="B19" s="21" t="s">
        <v>102</v>
      </c>
      <c r="C19" s="21" t="s">
        <v>103</v>
      </c>
      <c r="D19" s="21" t="s">
        <v>87</v>
      </c>
      <c r="E19" s="22" t="n">
        <v>85</v>
      </c>
      <c r="F19" s="47" t="s">
        <v>88</v>
      </c>
      <c r="G19" s="21" t="s">
        <v>104</v>
      </c>
    </row>
    <row r="20" customFormat="false" ht="15" hidden="false" customHeight="false" outlineLevel="0" collapsed="false">
      <c r="A20" s="17" t="s">
        <v>105</v>
      </c>
      <c r="B20" s="17" t="s">
        <v>106</v>
      </c>
      <c r="C20" s="17" t="s">
        <v>107</v>
      </c>
      <c r="D20" s="17" t="s">
        <v>87</v>
      </c>
      <c r="E20" s="18" t="n">
        <v>45</v>
      </c>
      <c r="F20" s="48" t="s">
        <v>88</v>
      </c>
      <c r="G20" s="17"/>
    </row>
    <row r="21" customFormat="false" ht="15" hidden="false" customHeight="false" outlineLevel="0" collapsed="false">
      <c r="A21" s="29"/>
      <c r="B21" s="29"/>
      <c r="C21" s="29"/>
      <c r="D21" s="29"/>
      <c r="E21" s="30"/>
      <c r="F21" s="29"/>
      <c r="G21" s="29"/>
    </row>
    <row r="22" customFormat="false" ht="15" hidden="false" customHeight="false" outlineLevel="0" collapsed="false">
      <c r="A22" s="31"/>
      <c r="B22" s="31"/>
      <c r="C22" s="31"/>
      <c r="D22" s="31"/>
      <c r="E22" s="32"/>
      <c r="F22" s="31"/>
      <c r="G22" s="31"/>
    </row>
    <row r="23" customFormat="false" ht="15" hidden="false" customHeight="false" outlineLevel="0" collapsed="false">
      <c r="A23" s="29"/>
      <c r="B23" s="29"/>
      <c r="C23" s="29"/>
      <c r="D23" s="29"/>
      <c r="E23" s="30"/>
      <c r="F23" s="29"/>
      <c r="G23" s="29"/>
    </row>
    <row r="24" customFormat="false" ht="15" hidden="false" customHeight="false" outlineLevel="0" collapsed="false">
      <c r="A24" s="31"/>
      <c r="B24" s="31"/>
      <c r="C24" s="31"/>
      <c r="D24" s="31"/>
      <c r="E24" s="32"/>
      <c r="F24" s="31"/>
      <c r="G24" s="31"/>
    </row>
    <row r="25" customFormat="false" ht="15" hidden="false" customHeight="false" outlineLevel="0" collapsed="false">
      <c r="A25" s="29"/>
      <c r="B25" s="29"/>
      <c r="C25" s="29"/>
      <c r="D25" s="29"/>
      <c r="E25" s="30"/>
      <c r="F25" s="29"/>
      <c r="G25" s="29"/>
    </row>
    <row r="26" customFormat="false" ht="15" hidden="false" customHeight="false" outlineLevel="0" collapsed="false">
      <c r="A26" s="31"/>
      <c r="B26" s="31"/>
      <c r="C26" s="31"/>
      <c r="D26" s="31"/>
      <c r="E26" s="32"/>
      <c r="F26" s="31"/>
      <c r="G26" s="31"/>
    </row>
    <row r="27" customFormat="false" ht="15" hidden="false" customHeight="false" outlineLevel="0" collapsed="false">
      <c r="A27" s="29"/>
      <c r="B27" s="29"/>
      <c r="C27" s="29"/>
      <c r="D27" s="29"/>
      <c r="E27" s="30"/>
      <c r="F27" s="29"/>
      <c r="G27" s="29"/>
    </row>
    <row r="28" customFormat="false" ht="15" hidden="false" customHeight="false" outlineLevel="0" collapsed="false">
      <c r="A28" s="31"/>
      <c r="B28" s="31"/>
      <c r="C28" s="31"/>
      <c r="D28" s="31"/>
      <c r="E28" s="32"/>
      <c r="F28" s="31"/>
      <c r="G28" s="31"/>
    </row>
    <row r="29" customFormat="false" ht="15" hidden="false" customHeight="false" outlineLevel="0" collapsed="false">
      <c r="A29" s="29"/>
      <c r="B29" s="29"/>
      <c r="C29" s="29"/>
      <c r="D29" s="29"/>
      <c r="E29" s="30"/>
      <c r="F29" s="29"/>
      <c r="G29" s="29"/>
    </row>
    <row r="30" customFormat="false" ht="15" hidden="false" customHeight="false" outlineLevel="0" collapsed="false">
      <c r="A30" s="31"/>
      <c r="B30" s="31"/>
      <c r="C30" s="31"/>
      <c r="D30" s="31"/>
      <c r="E30" s="32"/>
      <c r="F30" s="31"/>
      <c r="G30" s="31"/>
    </row>
    <row r="31" customFormat="false" ht="15" hidden="false" customHeight="false" outlineLevel="0" collapsed="false">
      <c r="A31" s="29"/>
      <c r="B31" s="29"/>
      <c r="C31" s="29"/>
      <c r="D31" s="29"/>
      <c r="E31" s="30"/>
      <c r="F31" s="29"/>
      <c r="G31" s="29"/>
    </row>
    <row r="32" customFormat="false" ht="15" hidden="false" customHeight="false" outlineLevel="0" collapsed="false">
      <c r="A32" s="31"/>
      <c r="B32" s="31"/>
      <c r="C32" s="31"/>
      <c r="D32" s="31"/>
      <c r="E32" s="32"/>
      <c r="F32" s="31"/>
      <c r="G32" s="31"/>
    </row>
    <row r="33" customFormat="false" ht="15" hidden="false" customHeight="false" outlineLevel="0" collapsed="false">
      <c r="A33" s="29"/>
      <c r="B33" s="29"/>
      <c r="C33" s="29"/>
      <c r="D33" s="29"/>
      <c r="E33" s="30"/>
      <c r="F33" s="29"/>
      <c r="G33" s="29"/>
    </row>
    <row r="34" customFormat="false" ht="15" hidden="false" customHeight="false" outlineLevel="0" collapsed="false">
      <c r="A34" s="31"/>
      <c r="B34" s="31"/>
      <c r="C34" s="31"/>
      <c r="D34" s="31"/>
      <c r="E34" s="32"/>
      <c r="F34" s="31"/>
      <c r="G34" s="31"/>
    </row>
    <row r="35" customFormat="false" ht="15" hidden="false" customHeight="false" outlineLevel="0" collapsed="false">
      <c r="A35" s="29"/>
      <c r="B35" s="29"/>
      <c r="C35" s="29"/>
      <c r="D35" s="29"/>
      <c r="E35" s="30"/>
      <c r="F35" s="29"/>
      <c r="G35" s="29"/>
    </row>
    <row r="36" customFormat="false" ht="15" hidden="false" customHeight="false" outlineLevel="0" collapsed="false">
      <c r="A36" s="31"/>
      <c r="B36" s="31"/>
      <c r="C36" s="31"/>
      <c r="D36" s="31"/>
      <c r="E36" s="32"/>
      <c r="F36" s="31"/>
      <c r="G36" s="31"/>
    </row>
    <row r="37" customFormat="false" ht="15" hidden="false" customHeight="false" outlineLevel="0" collapsed="false">
      <c r="A37" s="29"/>
      <c r="B37" s="29"/>
      <c r="C37" s="29"/>
      <c r="D37" s="29"/>
      <c r="E37" s="30"/>
      <c r="F37" s="29"/>
      <c r="G37" s="29"/>
    </row>
    <row r="38" customFormat="false" ht="15" hidden="false" customHeight="false" outlineLevel="0" collapsed="false">
      <c r="A38" s="31"/>
      <c r="B38" s="31"/>
      <c r="C38" s="31"/>
      <c r="D38" s="31"/>
      <c r="E38" s="32"/>
      <c r="F38" s="31"/>
      <c r="G38" s="31"/>
    </row>
    <row r="39" customFormat="false" ht="15" hidden="false" customHeight="false" outlineLevel="0" collapsed="false">
      <c r="A39" s="29"/>
      <c r="B39" s="29"/>
      <c r="C39" s="29"/>
      <c r="D39" s="29"/>
      <c r="E39" s="30"/>
      <c r="F39" s="29"/>
      <c r="G39" s="29"/>
    </row>
    <row r="40" customFormat="false" ht="15" hidden="false" customHeight="false" outlineLevel="0" collapsed="false">
      <c r="A40" s="31"/>
      <c r="B40" s="31"/>
      <c r="C40" s="31"/>
      <c r="D40" s="31"/>
      <c r="E40" s="32"/>
      <c r="F40" s="31"/>
      <c r="G40" s="31"/>
    </row>
  </sheetData>
  <mergeCells count="2">
    <mergeCell ref="A1:G1"/>
    <mergeCell ref="A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0" hidden="false" customHeight="true" outlineLevel="0" collapsed="false">
      <c r="A1" s="33" t="s">
        <v>108</v>
      </c>
      <c r="B1" s="33"/>
      <c r="C1" s="33"/>
      <c r="D1" s="33"/>
      <c r="E1" s="33"/>
      <c r="F1" s="33"/>
      <c r="G1" s="33"/>
    </row>
    <row r="3" customFormat="false" ht="15" hidden="false" customHeight="false" outlineLevel="0" collapsed="false">
      <c r="A3" s="16" t="s">
        <v>61</v>
      </c>
      <c r="B3" s="16" t="s">
        <v>109</v>
      </c>
      <c r="C3" s="16" t="s">
        <v>11</v>
      </c>
      <c r="D3" s="16" t="s">
        <v>110</v>
      </c>
      <c r="E3" s="16" t="s">
        <v>111</v>
      </c>
      <c r="F3" s="16" t="s">
        <v>112</v>
      </c>
      <c r="G3" s="16" t="s">
        <v>36</v>
      </c>
    </row>
    <row r="4" customFormat="false" ht="15" hidden="false" customHeight="false" outlineLevel="0" collapsed="false">
      <c r="A4" s="31" t="s">
        <v>67</v>
      </c>
      <c r="B4" s="18" t="n">
        <v>1800</v>
      </c>
      <c r="C4" s="19" t="n">
        <f aca="false">'💳 Expenses'!E9</f>
        <v>1800</v>
      </c>
      <c r="D4" s="49" t="n">
        <f aca="false">B4-C4</f>
        <v>0</v>
      </c>
      <c r="E4" s="20" t="n">
        <f aca="false">IF(B4=0,0,(B4-C4)/B4)</f>
        <v>0</v>
      </c>
      <c r="F4" s="50" t="str">
        <f aca="false">IF(D4&gt;=0,"✅ Under","⚠️ Over")</f>
        <v>✅ Under</v>
      </c>
      <c r="G4" s="31"/>
    </row>
    <row r="5" customFormat="false" ht="15" hidden="false" customHeight="false" outlineLevel="0" collapsed="false">
      <c r="A5" s="29" t="s">
        <v>71</v>
      </c>
      <c r="B5" s="22" t="n">
        <v>200</v>
      </c>
      <c r="C5" s="23" t="n">
        <f aca="false">'💳 Expenses'!E10</f>
        <v>180</v>
      </c>
      <c r="D5" s="51" t="n">
        <f aca="false">B5-C5</f>
        <v>20</v>
      </c>
      <c r="E5" s="24" t="n">
        <f aca="false">IF(B5=0,0,(B5-C5)/B5)</f>
        <v>0.1</v>
      </c>
      <c r="F5" s="52" t="str">
        <f aca="false">IF(D5&gt;=0,"✅ Under","⚠️ Over")</f>
        <v>✅ Under</v>
      </c>
      <c r="G5" s="29"/>
    </row>
    <row r="6" customFormat="false" ht="15" hidden="false" customHeight="false" outlineLevel="0" collapsed="false">
      <c r="A6" s="31" t="s">
        <v>113</v>
      </c>
      <c r="B6" s="18" t="n">
        <v>400</v>
      </c>
      <c r="C6" s="19" t="n">
        <f aca="false">'💳 Expenses'!E11</f>
        <v>350</v>
      </c>
      <c r="D6" s="49" t="n">
        <f aca="false">B6-C6</f>
        <v>50</v>
      </c>
      <c r="E6" s="20" t="n">
        <f aca="false">IF(B6=0,0,(B6-C6)/B6)</f>
        <v>0.125</v>
      </c>
      <c r="F6" s="50" t="str">
        <f aca="false">IF(D6&gt;=0,"✅ Under","⚠️ Over")</f>
        <v>✅ Under</v>
      </c>
      <c r="G6" s="31"/>
    </row>
    <row r="7" customFormat="false" ht="15" hidden="false" customHeight="false" outlineLevel="0" collapsed="false">
      <c r="A7" s="29" t="s">
        <v>77</v>
      </c>
      <c r="B7" s="22" t="n">
        <v>150</v>
      </c>
      <c r="C7" s="23" t="n">
        <f aca="false">'💳 Expenses'!E12</f>
        <v>120</v>
      </c>
      <c r="D7" s="51" t="n">
        <f aca="false">B7-C7</f>
        <v>30</v>
      </c>
      <c r="E7" s="24" t="n">
        <f aca="false">IF(B7=0,0,(B7-C7)/B7)</f>
        <v>0.2</v>
      </c>
      <c r="F7" s="52" t="str">
        <f aca="false">IF(D7&gt;=0,"✅ Under","⚠️ Over")</f>
        <v>✅ Under</v>
      </c>
      <c r="G7" s="29"/>
    </row>
    <row r="8" customFormat="false" ht="15" hidden="false" customHeight="false" outlineLevel="0" collapsed="false">
      <c r="A8" s="31" t="s">
        <v>80</v>
      </c>
      <c r="B8" s="18" t="n">
        <v>100</v>
      </c>
      <c r="C8" s="19" t="n">
        <f aca="false">'💳 Expenses'!E13</f>
        <v>50</v>
      </c>
      <c r="D8" s="49" t="n">
        <f aca="false">B8-C8</f>
        <v>50</v>
      </c>
      <c r="E8" s="20" t="n">
        <f aca="false">IF(B8=0,0,(B8-C8)/B8)</f>
        <v>0.5</v>
      </c>
      <c r="F8" s="50" t="str">
        <f aca="false">IF(D8&gt;=0,"✅ Under","⚠️ Over")</f>
        <v>✅ Under</v>
      </c>
      <c r="G8" s="31"/>
    </row>
    <row r="9" customFormat="false" ht="15" hidden="false" customHeight="false" outlineLevel="0" collapsed="false">
      <c r="A9" s="29" t="s">
        <v>83</v>
      </c>
      <c r="B9" s="22" t="n">
        <v>50</v>
      </c>
      <c r="C9" s="23" t="n">
        <f aca="false">'💳 Expenses'!E14</f>
        <v>30</v>
      </c>
      <c r="D9" s="51" t="n">
        <f aca="false">B9-C9</f>
        <v>20</v>
      </c>
      <c r="E9" s="24" t="n">
        <f aca="false">IF(B9=0,0,(B9-C9)/B9)</f>
        <v>0.4</v>
      </c>
      <c r="F9" s="52" t="str">
        <f aca="false">IF(D9&gt;=0,"✅ Under","⚠️ Over")</f>
        <v>✅ Under</v>
      </c>
      <c r="G9" s="29"/>
    </row>
    <row r="10" customFormat="false" ht="15" hidden="false" customHeight="false" outlineLevel="0" collapsed="false">
      <c r="A10" s="31" t="s">
        <v>114</v>
      </c>
      <c r="B10" s="18" t="n">
        <v>500</v>
      </c>
      <c r="C10" s="19" t="n">
        <f aca="false">'💳 Expenses'!E15</f>
        <v>400</v>
      </c>
      <c r="D10" s="49" t="n">
        <f aca="false">B10-C10</f>
        <v>100</v>
      </c>
      <c r="E10" s="20" t="n">
        <f aca="false">IF(B10=0,0,(B10-C10)/B10)</f>
        <v>0.2</v>
      </c>
      <c r="F10" s="50" t="str">
        <f aca="false">IF(D10&gt;=0,"✅ Under","⚠️ Over")</f>
        <v>✅ Under</v>
      </c>
      <c r="G10" s="31"/>
    </row>
    <row r="11" customFormat="false" ht="15" hidden="false" customHeight="false" outlineLevel="0" collapsed="false">
      <c r="A11" s="29" t="s">
        <v>115</v>
      </c>
      <c r="B11" s="22" t="n">
        <v>150</v>
      </c>
      <c r="C11" s="23" t="n">
        <f aca="false">'💳 Expenses'!E16</f>
        <v>99</v>
      </c>
      <c r="D11" s="51" t="n">
        <f aca="false">B11-C11</f>
        <v>51</v>
      </c>
      <c r="E11" s="24" t="n">
        <f aca="false">IF(B11=0,0,(B11-C11)/B11)</f>
        <v>0.34</v>
      </c>
      <c r="F11" s="52" t="str">
        <f aca="false">IF(D11&gt;=0,"✅ Under","⚠️ Over")</f>
        <v>✅ Under</v>
      </c>
      <c r="G11" s="29"/>
    </row>
    <row r="12" customFormat="false" ht="15" hidden="false" customHeight="false" outlineLevel="0" collapsed="false">
      <c r="A12" s="31" t="s">
        <v>95</v>
      </c>
      <c r="B12" s="18" t="n">
        <v>200</v>
      </c>
      <c r="C12" s="19" t="n">
        <f aca="false">'💳 Expenses'!E17</f>
        <v>197</v>
      </c>
      <c r="D12" s="49" t="n">
        <f aca="false">B12-C12</f>
        <v>3</v>
      </c>
      <c r="E12" s="20" t="n">
        <f aca="false">IF(B12=0,0,(B12-C12)/B12)</f>
        <v>0.015</v>
      </c>
      <c r="F12" s="50" t="str">
        <f aca="false">IF(D12&gt;=0,"✅ Under","⚠️ Over")</f>
        <v>✅ Under</v>
      </c>
      <c r="G12" s="31"/>
    </row>
    <row r="13" customFormat="false" ht="15" hidden="false" customHeight="false" outlineLevel="0" collapsed="false">
      <c r="A13" s="29" t="s">
        <v>99</v>
      </c>
      <c r="B13" s="22" t="n">
        <v>80</v>
      </c>
      <c r="C13" s="23" t="n">
        <f aca="false">'💳 Expenses'!E18</f>
        <v>65</v>
      </c>
      <c r="D13" s="51" t="n">
        <f aca="false">B13-C13</f>
        <v>15</v>
      </c>
      <c r="E13" s="24" t="n">
        <f aca="false">IF(B13=0,0,(B13-C13)/B13)</f>
        <v>0.1875</v>
      </c>
      <c r="F13" s="52" t="str">
        <f aca="false">IF(D13&gt;=0,"✅ Under","⚠️ Over")</f>
        <v>✅ Under</v>
      </c>
      <c r="G13" s="29"/>
    </row>
    <row r="14" customFormat="false" ht="15" hidden="false" customHeight="false" outlineLevel="0" collapsed="false">
      <c r="A14" s="31" t="s">
        <v>116</v>
      </c>
      <c r="B14" s="18" t="n">
        <v>150</v>
      </c>
      <c r="C14" s="19" t="n">
        <f aca="false">'💳 Expenses'!E19</f>
        <v>85</v>
      </c>
      <c r="D14" s="49" t="n">
        <f aca="false">B14-C14</f>
        <v>65</v>
      </c>
      <c r="E14" s="20" t="n">
        <f aca="false">IF(B14=0,0,(B14-C14)/B14)</f>
        <v>0.433333333333333</v>
      </c>
      <c r="F14" s="50" t="str">
        <f aca="false">IF(D14&gt;=0,"✅ Under","⚠️ Over")</f>
        <v>✅ Under</v>
      </c>
      <c r="G14" s="31"/>
    </row>
    <row r="15" customFormat="false" ht="15" hidden="false" customHeight="false" outlineLevel="0" collapsed="false">
      <c r="A15" s="29" t="s">
        <v>117</v>
      </c>
      <c r="B15" s="22" t="n">
        <v>60</v>
      </c>
      <c r="C15" s="23" t="n">
        <f aca="false">'💳 Expenses'!E20</f>
        <v>45</v>
      </c>
      <c r="D15" s="51" t="n">
        <f aca="false">B15-C15</f>
        <v>15</v>
      </c>
      <c r="E15" s="24" t="n">
        <f aca="false">IF(B15=0,0,(B15-C15)/B15)</f>
        <v>0.25</v>
      </c>
      <c r="F15" s="52" t="str">
        <f aca="false">IF(D15&gt;=0,"✅ Under","⚠️ Over")</f>
        <v>✅ Under</v>
      </c>
      <c r="G15" s="29"/>
    </row>
    <row r="16" customFormat="false" ht="15" hidden="false" customHeight="false" outlineLevel="0" collapsed="false">
      <c r="A16" s="31" t="s">
        <v>118</v>
      </c>
      <c r="B16" s="18" t="n">
        <v>200</v>
      </c>
      <c r="C16" s="19" t="s">
        <v>119</v>
      </c>
      <c r="D16" s="49" t="n">
        <f aca="false">B16-C16</f>
        <v>200</v>
      </c>
      <c r="E16" s="20" t="n">
        <f aca="false">IF(B16=0,0,(B16-C16)/B16)</f>
        <v>1</v>
      </c>
      <c r="F16" s="50" t="str">
        <f aca="false">IF(D16&gt;=0,"✅ Under","⚠️ Over")</f>
        <v>✅ Under</v>
      </c>
      <c r="G16" s="31"/>
    </row>
    <row r="17" customFormat="false" ht="15" hidden="false" customHeight="false" outlineLevel="0" collapsed="false">
      <c r="A17" s="40" t="s">
        <v>18</v>
      </c>
      <c r="B17" s="26" t="n">
        <f aca="false">SUM(B4:B16)</f>
        <v>4040</v>
      </c>
      <c r="C17" s="26" t="n">
        <f aca="false">SUM(C4:C16)</f>
        <v>3421</v>
      </c>
      <c r="D17" s="26" t="n">
        <f aca="false">B17-C17</f>
        <v>619</v>
      </c>
      <c r="E17" s="27" t="n">
        <f aca="false">IF(B17=0,0,(B17-C17)/B17)</f>
        <v>0.153217821782178</v>
      </c>
      <c r="F17" s="40"/>
      <c r="G17" s="4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30" hidden="false" customHeight="true" outlineLevel="0" collapsed="false">
      <c r="A1" s="33" t="s">
        <v>120</v>
      </c>
      <c r="B1" s="33"/>
      <c r="C1" s="33"/>
      <c r="D1" s="33"/>
      <c r="E1" s="33"/>
      <c r="F1" s="33"/>
      <c r="G1" s="33"/>
    </row>
    <row r="3" customFormat="false" ht="15" hidden="false" customHeight="false" outlineLevel="0" collapsed="false">
      <c r="A3" s="16" t="s">
        <v>121</v>
      </c>
      <c r="B3" s="16" t="s">
        <v>10</v>
      </c>
      <c r="C3" s="16" t="s">
        <v>122</v>
      </c>
      <c r="D3" s="16" t="s">
        <v>123</v>
      </c>
      <c r="E3" s="16" t="s">
        <v>124</v>
      </c>
      <c r="F3" s="16" t="s">
        <v>125</v>
      </c>
      <c r="G3" s="16" t="s">
        <v>126</v>
      </c>
    </row>
    <row r="4" customFormat="false" ht="15" hidden="false" customHeight="false" outlineLevel="0" collapsed="false">
      <c r="A4" s="17" t="s">
        <v>127</v>
      </c>
      <c r="B4" s="18" t="n">
        <v>9000</v>
      </c>
      <c r="C4" s="18" t="n">
        <v>3200</v>
      </c>
      <c r="D4" s="42" t="n">
        <f aca="false">B4-C4</f>
        <v>5800</v>
      </c>
      <c r="E4" s="20" t="n">
        <f aca="false">IF(B4=0,0,C4/B4)</f>
        <v>0.355555555555556</v>
      </c>
      <c r="F4" s="18" t="n">
        <v>500</v>
      </c>
      <c r="G4" s="50" t="n">
        <f aca="false">IF(F4=0,"N/A",CEILING(D4/F4,1))</f>
        <v>12</v>
      </c>
    </row>
    <row r="5" customFormat="false" ht="15" hidden="false" customHeight="false" outlineLevel="0" collapsed="false">
      <c r="A5" s="21" t="s">
        <v>128</v>
      </c>
      <c r="B5" s="22" t="n">
        <v>100000</v>
      </c>
      <c r="C5" s="22" t="n">
        <v>18500</v>
      </c>
      <c r="D5" s="41" t="n">
        <f aca="false">B5-C5</f>
        <v>81500</v>
      </c>
      <c r="E5" s="24" t="n">
        <f aca="false">IF(B5=0,0,C5/B5)</f>
        <v>0.185</v>
      </c>
      <c r="F5" s="22" t="n">
        <v>1000</v>
      </c>
      <c r="G5" s="52" t="n">
        <f aca="false">IF(F5=0,"N/A",CEILING(D5/F5,1))</f>
        <v>82</v>
      </c>
    </row>
    <row r="6" customFormat="false" ht="15" hidden="false" customHeight="false" outlineLevel="0" collapsed="false">
      <c r="A6" s="17" t="s">
        <v>129</v>
      </c>
      <c r="B6" s="18" t="n">
        <v>25000</v>
      </c>
      <c r="C6" s="18" t="n">
        <v>4200</v>
      </c>
      <c r="D6" s="42" t="n">
        <f aca="false">B6-C6</f>
        <v>20800</v>
      </c>
      <c r="E6" s="20" t="n">
        <f aca="false">IF(B6=0,0,C6/B6)</f>
        <v>0.168</v>
      </c>
      <c r="F6" s="18" t="n">
        <v>750</v>
      </c>
      <c r="G6" s="50" t="n">
        <f aca="false">IF(F6=0,"N/A",CEILING(D6/F6,1))</f>
        <v>28</v>
      </c>
    </row>
    <row r="7" customFormat="false" ht="15" hidden="false" customHeight="false" outlineLevel="0" collapsed="false">
      <c r="A7" s="21" t="s">
        <v>130</v>
      </c>
      <c r="B7" s="22" t="n">
        <v>8000</v>
      </c>
      <c r="C7" s="22" t="n">
        <v>1500</v>
      </c>
      <c r="D7" s="41" t="n">
        <f aca="false">B7-C7</f>
        <v>6500</v>
      </c>
      <c r="E7" s="24" t="n">
        <f aca="false">IF(B7=0,0,C7/B7)</f>
        <v>0.1875</v>
      </c>
      <c r="F7" s="22" t="n">
        <v>400</v>
      </c>
      <c r="G7" s="52" t="n">
        <f aca="false">IF(F7=0,"N/A",CEILING(D7/F7,1))</f>
        <v>17</v>
      </c>
    </row>
    <row r="8" customFormat="false" ht="15" hidden="false" customHeight="false" outlineLevel="0" collapsed="false">
      <c r="A8" s="17" t="s">
        <v>131</v>
      </c>
      <c r="B8" s="18" t="n">
        <v>3000</v>
      </c>
      <c r="C8" s="18" t="n">
        <v>800</v>
      </c>
      <c r="D8" s="42" t="n">
        <f aca="false">B8-C8</f>
        <v>2200</v>
      </c>
      <c r="E8" s="20" t="n">
        <f aca="false">IF(B8=0,0,C8/B8)</f>
        <v>0.266666666666667</v>
      </c>
      <c r="F8" s="18" t="n">
        <v>200</v>
      </c>
      <c r="G8" s="50" t="n">
        <f aca="false">IF(F8=0,"N/A",CEILING(D8/F8,1))</f>
        <v>11</v>
      </c>
    </row>
    <row r="9" customFormat="false" ht="15" hidden="false" customHeight="false" outlineLevel="0" collapsed="false">
      <c r="A9" s="40" t="s">
        <v>18</v>
      </c>
      <c r="B9" s="26" t="n">
        <f aca="false">SUM(B4:B8)</f>
        <v>145000</v>
      </c>
      <c r="C9" s="26" t="n">
        <f aca="false">SUM(C4:C8)</f>
        <v>28200</v>
      </c>
      <c r="D9" s="26" t="n">
        <f aca="false">SUM(D4:D8)</f>
        <v>116800</v>
      </c>
      <c r="E9" s="27" t="n">
        <f aca="false">IF(B9=0,0,C9/B9)</f>
        <v>0.19448275862069</v>
      </c>
      <c r="F9" s="26" t="n">
        <f aca="false">SUM(F4:F8)</f>
        <v>2850</v>
      </c>
      <c r="G9" s="4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33" t="s">
        <v>132</v>
      </c>
      <c r="B1" s="33"/>
      <c r="C1" s="33"/>
      <c r="D1" s="33"/>
      <c r="E1" s="33"/>
      <c r="F1" s="33"/>
      <c r="G1" s="33"/>
      <c r="H1" s="33"/>
    </row>
    <row r="3" customFormat="false" ht="15" hidden="false" customHeight="false" outlineLevel="0" collapsed="false">
      <c r="A3" s="35" t="s">
        <v>133</v>
      </c>
      <c r="C3" s="43" t="n">
        <f aca="false">SUM(C8:C15)</f>
        <v>60200</v>
      </c>
    </row>
    <row r="4" customFormat="false" ht="15" hidden="false" customHeight="false" outlineLevel="0" collapsed="false">
      <c r="A4" s="35" t="s">
        <v>134</v>
      </c>
      <c r="C4" s="53" t="n">
        <f aca="false">SUM(E8:E15)</f>
        <v>1300</v>
      </c>
    </row>
    <row r="7" customFormat="false" ht="15" hidden="false" customHeight="false" outlineLevel="0" collapsed="false">
      <c r="A7" s="16" t="s">
        <v>135</v>
      </c>
      <c r="B7" s="16" t="s">
        <v>63</v>
      </c>
      <c r="C7" s="16" t="s">
        <v>136</v>
      </c>
      <c r="D7" s="16" t="s">
        <v>137</v>
      </c>
      <c r="E7" s="16" t="s">
        <v>138</v>
      </c>
      <c r="F7" s="16" t="s">
        <v>139</v>
      </c>
      <c r="G7" s="16" t="s">
        <v>140</v>
      </c>
      <c r="H7" s="16" t="s">
        <v>141</v>
      </c>
    </row>
    <row r="8" customFormat="false" ht="15" hidden="false" customHeight="false" outlineLevel="0" collapsed="false">
      <c r="A8" s="31" t="s">
        <v>142</v>
      </c>
      <c r="B8" s="31" t="s">
        <v>143</v>
      </c>
      <c r="C8" s="18" t="n">
        <v>4200</v>
      </c>
      <c r="D8" s="54" t="n">
        <v>0.2499</v>
      </c>
      <c r="E8" s="18" t="n">
        <v>105</v>
      </c>
      <c r="F8" s="18" t="n">
        <v>200</v>
      </c>
      <c r="G8" s="42" t="n">
        <f aca="false">E8+F8</f>
        <v>305</v>
      </c>
      <c r="H8" s="50" t="str">
        <f aca="true">IF(OR(G8=0,D8=0),"N/A",TEXT(TODAY()+CEILING(C8/G8,1)*30,"mmm-yyyy"))</f>
        <v>May-2027</v>
      </c>
    </row>
    <row r="9" customFormat="false" ht="15" hidden="false" customHeight="false" outlineLevel="0" collapsed="false">
      <c r="A9" s="29" t="s">
        <v>144</v>
      </c>
      <c r="B9" s="29" t="s">
        <v>143</v>
      </c>
      <c r="C9" s="22" t="n">
        <v>1800</v>
      </c>
      <c r="D9" s="55" t="n">
        <v>0.1999</v>
      </c>
      <c r="E9" s="22" t="n">
        <v>45</v>
      </c>
      <c r="F9" s="22" t="n">
        <v>100</v>
      </c>
      <c r="G9" s="41" t="n">
        <f aca="false">E9+F9</f>
        <v>145</v>
      </c>
      <c r="H9" s="52" t="str">
        <f aca="true">IF(OR(G9=0,D9=0),"N/A",TEXT(TODAY()+CEILING(C9/G9,1)*30,"mmm-yyyy"))</f>
        <v>Apr-2027</v>
      </c>
    </row>
    <row r="10" customFormat="false" ht="15" hidden="false" customHeight="false" outlineLevel="0" collapsed="false">
      <c r="A10" s="31" t="s">
        <v>145</v>
      </c>
      <c r="B10" s="31" t="s">
        <v>146</v>
      </c>
      <c r="C10" s="18" t="n">
        <v>8500</v>
      </c>
      <c r="D10" s="54" t="n">
        <v>0.0505</v>
      </c>
      <c r="E10" s="18" t="n">
        <v>95</v>
      </c>
      <c r="F10" s="18" t="n">
        <v>50</v>
      </c>
      <c r="G10" s="42" t="n">
        <f aca="false">E10+F10</f>
        <v>145</v>
      </c>
      <c r="H10" s="50" t="str">
        <f aca="true">IF(OR(G10=0,D10=0),"N/A",TEXT(TODAY()+CEILING(C10/G10,1)*30,"mmm-yyyy"))</f>
        <v>Feb-2031</v>
      </c>
    </row>
    <row r="11" customFormat="false" ht="15" hidden="false" customHeight="false" outlineLevel="0" collapsed="false">
      <c r="A11" s="29" t="s">
        <v>147</v>
      </c>
      <c r="B11" s="29" t="s">
        <v>148</v>
      </c>
      <c r="C11" s="22" t="n">
        <v>12400</v>
      </c>
      <c r="D11" s="55" t="n">
        <v>0.0675</v>
      </c>
      <c r="E11" s="22" t="n">
        <v>285</v>
      </c>
      <c r="F11" s="22" t="n">
        <v>0</v>
      </c>
      <c r="G11" s="41" t="n">
        <f aca="false">E11+F11</f>
        <v>285</v>
      </c>
      <c r="H11" s="52" t="str">
        <f aca="true">IF(OR(G11=0,D11=0),"N/A",TEXT(TODAY()+CEILING(C11/G11,1)*30,"mmm-yyyy"))</f>
        <v>Nov-2029</v>
      </c>
    </row>
    <row r="12" customFormat="false" ht="15" hidden="false" customHeight="false" outlineLevel="0" collapsed="false">
      <c r="A12" s="31" t="s">
        <v>149</v>
      </c>
      <c r="B12" s="31" t="s">
        <v>150</v>
      </c>
      <c r="C12" s="18" t="n">
        <v>3200</v>
      </c>
      <c r="D12" s="54" t="n">
        <v>0.125</v>
      </c>
      <c r="E12" s="18" t="n">
        <v>120</v>
      </c>
      <c r="F12" s="18" t="n">
        <v>80</v>
      </c>
      <c r="G12" s="42" t="n">
        <f aca="false">E12+F12</f>
        <v>200</v>
      </c>
      <c r="H12" s="50" t="str">
        <f aca="true">IF(OR(G12=0,D12=0),"N/A",TEXT(TODAY()+CEILING(C12/G12,1)*30,"mmm-yyyy"))</f>
        <v>Jul-2027</v>
      </c>
    </row>
    <row r="13" customFormat="false" ht="15" hidden="false" customHeight="false" outlineLevel="0" collapsed="false">
      <c r="A13" s="40" t="s">
        <v>18</v>
      </c>
      <c r="B13" s="40"/>
      <c r="C13" s="26" t="n">
        <f aca="false">SUM(C8:C12)</f>
        <v>30100</v>
      </c>
      <c r="D13" s="40"/>
      <c r="E13" s="26" t="n">
        <f aca="false">SUM(E8:E12)</f>
        <v>650</v>
      </c>
      <c r="F13" s="26" t="n">
        <f aca="false">SUM(F8:F12)</f>
        <v>430</v>
      </c>
      <c r="G13" s="26" t="n">
        <f aca="false">SUM(G8:G12)</f>
        <v>1080</v>
      </c>
      <c r="H13" s="4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33" t="s">
        <v>151</v>
      </c>
      <c r="B1" s="33"/>
      <c r="C1" s="33"/>
      <c r="D1" s="33"/>
      <c r="E1" s="33"/>
    </row>
    <row r="3" customFormat="false" ht="15" hidden="false" customHeight="false" outlineLevel="0" collapsed="false">
      <c r="A3" s="38" t="s">
        <v>152</v>
      </c>
      <c r="B3" s="38"/>
      <c r="C3" s="38"/>
      <c r="D3" s="38"/>
      <c r="E3" s="38"/>
    </row>
    <row r="4" customFormat="false" ht="15" hidden="false" customHeight="false" outlineLevel="0" collapsed="false">
      <c r="A4" s="39" t="s">
        <v>153</v>
      </c>
      <c r="B4" s="39" t="s">
        <v>154</v>
      </c>
      <c r="C4" s="39" t="s">
        <v>61</v>
      </c>
      <c r="D4" s="39" t="s">
        <v>36</v>
      </c>
      <c r="E4" s="39"/>
    </row>
    <row r="5" customFormat="false" ht="15" hidden="false" customHeight="false" outlineLevel="0" collapsed="false">
      <c r="A5" s="29" t="s">
        <v>155</v>
      </c>
      <c r="B5" s="22" t="n">
        <v>5200</v>
      </c>
      <c r="C5" s="29" t="s">
        <v>156</v>
      </c>
      <c r="D5" s="29"/>
      <c r="E5" s="29"/>
    </row>
    <row r="6" customFormat="false" ht="15" hidden="false" customHeight="false" outlineLevel="0" collapsed="false">
      <c r="A6" s="31" t="s">
        <v>157</v>
      </c>
      <c r="B6" s="18" t="n">
        <v>3800</v>
      </c>
      <c r="C6" s="31" t="s">
        <v>156</v>
      </c>
      <c r="D6" s="31"/>
      <c r="E6" s="31"/>
    </row>
    <row r="7" customFormat="false" ht="15" hidden="false" customHeight="false" outlineLevel="0" collapsed="false">
      <c r="A7" s="29" t="s">
        <v>158</v>
      </c>
      <c r="B7" s="22" t="n">
        <v>7400</v>
      </c>
      <c r="C7" s="29" t="s">
        <v>156</v>
      </c>
      <c r="D7" s="29"/>
      <c r="E7" s="29"/>
    </row>
    <row r="8" customFormat="false" ht="15" hidden="false" customHeight="false" outlineLevel="0" collapsed="false">
      <c r="A8" s="31" t="s">
        <v>159</v>
      </c>
      <c r="B8" s="18" t="n">
        <v>4200</v>
      </c>
      <c r="C8" s="31" t="s">
        <v>160</v>
      </c>
      <c r="D8" s="31"/>
      <c r="E8" s="31"/>
    </row>
    <row r="9" customFormat="false" ht="15" hidden="false" customHeight="false" outlineLevel="0" collapsed="false">
      <c r="A9" s="29" t="s">
        <v>161</v>
      </c>
      <c r="B9" s="22" t="n">
        <v>9500</v>
      </c>
      <c r="C9" s="29" t="s">
        <v>162</v>
      </c>
      <c r="D9" s="29"/>
      <c r="E9" s="29"/>
    </row>
    <row r="10" customFormat="false" ht="15" hidden="false" customHeight="false" outlineLevel="0" collapsed="false">
      <c r="A10" s="31" t="s">
        <v>163</v>
      </c>
      <c r="B10" s="18" t="n">
        <v>14000</v>
      </c>
      <c r="C10" s="31" t="s">
        <v>164</v>
      </c>
      <c r="D10" s="31"/>
      <c r="E10" s="31"/>
    </row>
    <row r="11" customFormat="false" ht="15" hidden="false" customHeight="false" outlineLevel="0" collapsed="false">
      <c r="A11" s="29" t="s">
        <v>165</v>
      </c>
      <c r="B11" s="22" t="n">
        <v>0</v>
      </c>
      <c r="C11" s="29" t="s">
        <v>17</v>
      </c>
      <c r="D11" s="29"/>
      <c r="E11" s="29"/>
    </row>
    <row r="12" customFormat="false" ht="15" hidden="false" customHeight="false" outlineLevel="0" collapsed="false">
      <c r="A12" s="56" t="s">
        <v>166</v>
      </c>
      <c r="B12" s="57" t="n">
        <f aca="false">SUM(B5:B11)</f>
        <v>44100</v>
      </c>
      <c r="C12" s="58"/>
      <c r="D12" s="58"/>
      <c r="E12" s="58"/>
    </row>
    <row r="13" customFormat="false" ht="6" hidden="false" customHeight="true" outlineLevel="0" collapsed="false"/>
    <row r="14" customFormat="false" ht="15" hidden="false" customHeight="false" outlineLevel="0" collapsed="false">
      <c r="A14" s="59" t="s">
        <v>167</v>
      </c>
      <c r="B14" s="59"/>
      <c r="C14" s="59"/>
      <c r="D14" s="59"/>
      <c r="E14" s="59"/>
    </row>
    <row r="15" customFormat="false" ht="15" hidden="false" customHeight="false" outlineLevel="0" collapsed="false">
      <c r="A15" s="39" t="s">
        <v>168</v>
      </c>
      <c r="B15" s="39" t="s">
        <v>136</v>
      </c>
      <c r="C15" s="39" t="s">
        <v>63</v>
      </c>
      <c r="D15" s="39" t="s">
        <v>36</v>
      </c>
      <c r="E15" s="39"/>
    </row>
    <row r="16" customFormat="false" ht="15" hidden="false" customHeight="false" outlineLevel="0" collapsed="false">
      <c r="A16" s="31" t="s">
        <v>169</v>
      </c>
      <c r="B16" s="18" t="n">
        <v>4200</v>
      </c>
      <c r="C16" s="31" t="s">
        <v>143</v>
      </c>
      <c r="D16" s="31"/>
      <c r="E16" s="31"/>
    </row>
    <row r="17" customFormat="false" ht="15" hidden="false" customHeight="false" outlineLevel="0" collapsed="false">
      <c r="A17" s="29" t="s">
        <v>170</v>
      </c>
      <c r="B17" s="22" t="n">
        <v>1800</v>
      </c>
      <c r="C17" s="29" t="s">
        <v>143</v>
      </c>
      <c r="D17" s="29"/>
      <c r="E17" s="29"/>
    </row>
    <row r="18" customFormat="false" ht="15" hidden="false" customHeight="false" outlineLevel="0" collapsed="false">
      <c r="A18" s="31" t="s">
        <v>145</v>
      </c>
      <c r="B18" s="18" t="n">
        <v>8500</v>
      </c>
      <c r="C18" s="31" t="s">
        <v>145</v>
      </c>
      <c r="D18" s="31"/>
      <c r="E18" s="31"/>
    </row>
    <row r="19" customFormat="false" ht="15" hidden="false" customHeight="false" outlineLevel="0" collapsed="false">
      <c r="A19" s="29" t="s">
        <v>147</v>
      </c>
      <c r="B19" s="22" t="n">
        <v>12400</v>
      </c>
      <c r="C19" s="29" t="s">
        <v>148</v>
      </c>
      <c r="D19" s="29"/>
      <c r="E19" s="29"/>
    </row>
    <row r="20" customFormat="false" ht="15" hidden="false" customHeight="false" outlineLevel="0" collapsed="false">
      <c r="A20" s="31" t="s">
        <v>149</v>
      </c>
      <c r="B20" s="18" t="n">
        <v>3200</v>
      </c>
      <c r="C20" s="31" t="s">
        <v>150</v>
      </c>
      <c r="D20" s="31"/>
      <c r="E20" s="31"/>
    </row>
    <row r="21" customFormat="false" ht="15" hidden="false" customHeight="false" outlineLevel="0" collapsed="false">
      <c r="A21" s="60" t="s">
        <v>171</v>
      </c>
      <c r="B21" s="61" t="n">
        <f aca="false">SUM(B16:B20)</f>
        <v>30100</v>
      </c>
      <c r="C21" s="62"/>
      <c r="D21" s="62"/>
      <c r="E21" s="62"/>
    </row>
    <row r="23" customFormat="false" ht="6" hidden="false" customHeight="true" outlineLevel="0" collapsed="false"/>
    <row r="24" customFormat="false" ht="31.5" hidden="false" customHeight="true" outlineLevel="0" collapsed="false">
      <c r="A24" s="63" t="s">
        <v>172</v>
      </c>
      <c r="B24" s="63"/>
      <c r="C24" s="64" t="n">
        <f aca="false">B12-B21</f>
        <v>14000</v>
      </c>
    </row>
    <row r="26" customFormat="false" ht="6" hidden="false" customHeight="true" outlineLevel="0" collapsed="false"/>
    <row r="27" customFormat="false" ht="15" hidden="false" customHeight="false" outlineLevel="0" collapsed="false">
      <c r="A27" s="38" t="s">
        <v>173</v>
      </c>
      <c r="B27" s="38"/>
      <c r="C27" s="38"/>
      <c r="D27" s="38"/>
      <c r="E27" s="38"/>
    </row>
    <row r="28" customFormat="false" ht="15" hidden="false" customHeight="false" outlineLevel="0" collapsed="false">
      <c r="A28" s="39" t="s">
        <v>39</v>
      </c>
      <c r="B28" s="39" t="s">
        <v>174</v>
      </c>
      <c r="C28" s="39" t="s">
        <v>175</v>
      </c>
      <c r="D28" s="39" t="s">
        <v>176</v>
      </c>
      <c r="E28" s="39" t="s">
        <v>177</v>
      </c>
    </row>
    <row r="29" customFormat="false" ht="15" hidden="false" customHeight="false" outlineLevel="0" collapsed="false">
      <c r="A29" s="29" t="s">
        <v>178</v>
      </c>
      <c r="B29" s="22" t="n">
        <v>43100</v>
      </c>
      <c r="C29" s="22" t="n">
        <v>30100</v>
      </c>
      <c r="D29" s="41" t="n">
        <f aca="false">B29-C29</f>
        <v>13000</v>
      </c>
      <c r="E29" s="65" t="s">
        <v>179</v>
      </c>
    </row>
    <row r="30" customFormat="false" ht="15" hidden="false" customHeight="false" outlineLevel="0" collapsed="false">
      <c r="A30" s="31" t="s">
        <v>180</v>
      </c>
      <c r="B30" s="18" t="n">
        <v>44200</v>
      </c>
      <c r="C30" s="18" t="n">
        <v>29500</v>
      </c>
      <c r="D30" s="42" t="n">
        <f aca="false">B30-C30</f>
        <v>14700</v>
      </c>
      <c r="E30" s="49" t="n">
        <f aca="false">D30-D29</f>
        <v>1700</v>
      </c>
    </row>
    <row r="31" customFormat="false" ht="15" hidden="false" customHeight="false" outlineLevel="0" collapsed="false">
      <c r="A31" s="29" t="s">
        <v>181</v>
      </c>
      <c r="B31" s="22" t="n">
        <v>44100</v>
      </c>
      <c r="C31" s="22" t="n">
        <v>30100</v>
      </c>
      <c r="D31" s="41" t="n">
        <f aca="false">B31-C31</f>
        <v>14000</v>
      </c>
      <c r="E31" s="51" t="n">
        <f aca="false">D31-D30</f>
        <v>-700</v>
      </c>
    </row>
  </sheetData>
  <mergeCells count="5">
    <mergeCell ref="A1:E1"/>
    <mergeCell ref="A3:E3"/>
    <mergeCell ref="A14:E14"/>
    <mergeCell ref="A24:B24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33" t="s">
        <v>182</v>
      </c>
      <c r="B1" s="33"/>
      <c r="C1" s="33"/>
      <c r="D1" s="33"/>
      <c r="E1" s="33"/>
    </row>
    <row r="3" customFormat="false" ht="15" hidden="false" customHeight="false" outlineLevel="0" collapsed="false">
      <c r="A3" s="38" t="s">
        <v>183</v>
      </c>
      <c r="B3" s="38"/>
      <c r="C3" s="38"/>
      <c r="D3" s="38"/>
      <c r="E3" s="38"/>
    </row>
    <row r="4" customFormat="false" ht="15" hidden="false" customHeight="false" outlineLevel="0" collapsed="false">
      <c r="A4" s="66" t="s">
        <v>184</v>
      </c>
      <c r="B4" s="67" t="n">
        <v>120000</v>
      </c>
    </row>
    <row r="5" customFormat="false" ht="15" hidden="false" customHeight="false" outlineLevel="0" collapsed="false">
      <c r="A5" s="66" t="s">
        <v>185</v>
      </c>
      <c r="B5" s="67" t="n">
        <v>12000</v>
      </c>
    </row>
    <row r="6" customFormat="false" ht="15" hidden="false" customHeight="false" outlineLevel="0" collapsed="false">
      <c r="A6" s="66" t="s">
        <v>186</v>
      </c>
      <c r="B6" s="67" t="n">
        <v>14600</v>
      </c>
    </row>
    <row r="7" customFormat="false" ht="15" hidden="false" customHeight="false" outlineLevel="0" collapsed="false">
      <c r="A7" s="66" t="s">
        <v>187</v>
      </c>
      <c r="B7" s="68" t="n">
        <v>0.153</v>
      </c>
    </row>
    <row r="8" customFormat="false" ht="15" hidden="false" customHeight="false" outlineLevel="0" collapsed="false">
      <c r="A8" s="66" t="s">
        <v>188</v>
      </c>
      <c r="B8" s="68" t="n">
        <v>0.22</v>
      </c>
    </row>
    <row r="9" customFormat="false" ht="15" hidden="false" customHeight="false" outlineLevel="0" collapsed="false">
      <c r="A9" s="66" t="s">
        <v>189</v>
      </c>
      <c r="B9" s="68" t="n">
        <v>0</v>
      </c>
    </row>
    <row r="11" customFormat="false" ht="6" hidden="false" customHeight="true" outlineLevel="0" collapsed="false"/>
    <row r="12" customFormat="false" ht="15" hidden="false" customHeight="false" outlineLevel="0" collapsed="false">
      <c r="A12" s="15" t="s">
        <v>190</v>
      </c>
      <c r="B12" s="15"/>
      <c r="C12" s="15"/>
      <c r="D12" s="15"/>
      <c r="E12" s="15"/>
    </row>
    <row r="13" customFormat="false" ht="15" hidden="false" customHeight="false" outlineLevel="0" collapsed="false">
      <c r="A13" s="21" t="s">
        <v>191</v>
      </c>
      <c r="B13" s="23" t="n">
        <f aca="false">B4-B5</f>
        <v>108000</v>
      </c>
    </row>
    <row r="14" customFormat="false" ht="15" hidden="false" customHeight="false" outlineLevel="0" collapsed="false">
      <c r="A14" s="17" t="s">
        <v>192</v>
      </c>
      <c r="B14" s="19" t="n">
        <f aca="false">(B13*0.9235)*B7</f>
        <v>15259.914</v>
      </c>
    </row>
    <row r="15" customFormat="false" ht="15" hidden="false" customHeight="false" outlineLevel="0" collapsed="false">
      <c r="A15" s="21" t="s">
        <v>193</v>
      </c>
      <c r="B15" s="23" t="n">
        <f aca="false">B14/2</f>
        <v>7629.957</v>
      </c>
    </row>
    <row r="16" customFormat="false" ht="15" hidden="false" customHeight="false" outlineLevel="0" collapsed="false">
      <c r="A16" s="17" t="s">
        <v>194</v>
      </c>
      <c r="B16" s="19" t="n">
        <f aca="false">B13*0.2</f>
        <v>21600</v>
      </c>
    </row>
    <row r="17" customFormat="false" ht="15" hidden="false" customHeight="false" outlineLevel="0" collapsed="false">
      <c r="A17" s="21" t="s">
        <v>195</v>
      </c>
      <c r="B17" s="23" t="n">
        <f aca="false">B13-B15-B6</f>
        <v>85770.043</v>
      </c>
    </row>
    <row r="18" customFormat="false" ht="15" hidden="false" customHeight="false" outlineLevel="0" collapsed="false">
      <c r="A18" s="17" t="s">
        <v>196</v>
      </c>
      <c r="B18" s="19" t="n">
        <f aca="false">B17*B8</f>
        <v>18869.40946</v>
      </c>
    </row>
    <row r="19" customFormat="false" ht="15" hidden="false" customHeight="false" outlineLevel="0" collapsed="false">
      <c r="A19" s="21" t="s">
        <v>197</v>
      </c>
      <c r="B19" s="23" t="n">
        <f aca="false">B17*B9</f>
        <v>0</v>
      </c>
    </row>
    <row r="20" customFormat="false" ht="15" hidden="false" customHeight="false" outlineLevel="0" collapsed="false">
      <c r="A20" s="69" t="s">
        <v>198</v>
      </c>
      <c r="B20" s="70" t="n">
        <f aca="false">B14+B18+B19</f>
        <v>34129.32346</v>
      </c>
    </row>
    <row r="21" customFormat="false" ht="15" hidden="false" customHeight="false" outlineLevel="0" collapsed="false">
      <c r="A21" s="71" t="s">
        <v>199</v>
      </c>
      <c r="B21" s="72" t="n">
        <f aca="false">IF(B4=0,0,B20/B4)</f>
        <v>0.284411028833333</v>
      </c>
    </row>
    <row r="24" customFormat="false" ht="6" hidden="false" customHeight="true" outlineLevel="0" collapsed="false"/>
    <row r="25" customFormat="false" ht="15" hidden="false" customHeight="false" outlineLevel="0" collapsed="false">
      <c r="A25" s="38" t="s">
        <v>200</v>
      </c>
      <c r="B25" s="38"/>
      <c r="C25" s="38"/>
      <c r="D25" s="38"/>
      <c r="E25" s="38"/>
    </row>
    <row r="26" customFormat="false" ht="15" hidden="false" customHeight="false" outlineLevel="0" collapsed="false">
      <c r="A26" s="39" t="s">
        <v>201</v>
      </c>
      <c r="B26" s="39" t="s">
        <v>202</v>
      </c>
      <c r="C26" s="39" t="s">
        <v>203</v>
      </c>
      <c r="D26" s="39" t="s">
        <v>204</v>
      </c>
      <c r="E26" s="39" t="s">
        <v>112</v>
      </c>
    </row>
    <row r="27" customFormat="false" ht="15" hidden="false" customHeight="false" outlineLevel="0" collapsed="false">
      <c r="A27" s="29" t="s">
        <v>205</v>
      </c>
      <c r="B27" s="29" t="s">
        <v>206</v>
      </c>
      <c r="C27" s="23" t="n">
        <f aca="false">B20/4</f>
        <v>8532.330865</v>
      </c>
      <c r="D27" s="22" t="n">
        <v>0</v>
      </c>
      <c r="E27" s="52" t="str">
        <f aca="false">IF(D27&gt;=C27,"✅ Paid","⚠️ Due")</f>
        <v>⚠️ Due</v>
      </c>
    </row>
    <row r="28" customFormat="false" ht="15" hidden="false" customHeight="false" outlineLevel="0" collapsed="false">
      <c r="A28" s="31" t="s">
        <v>207</v>
      </c>
      <c r="B28" s="31" t="s">
        <v>208</v>
      </c>
      <c r="C28" s="19" t="n">
        <f aca="false">B20/4</f>
        <v>8532.330865</v>
      </c>
      <c r="D28" s="18" t="n">
        <v>0</v>
      </c>
      <c r="E28" s="50" t="str">
        <f aca="false">IF(D28&gt;=C28,"✅ Paid","⚠️ Due")</f>
        <v>⚠️ Due</v>
      </c>
    </row>
    <row r="29" customFormat="false" ht="15" hidden="false" customHeight="false" outlineLevel="0" collapsed="false">
      <c r="A29" s="29" t="s">
        <v>209</v>
      </c>
      <c r="B29" s="29" t="s">
        <v>210</v>
      </c>
      <c r="C29" s="23" t="n">
        <f aca="false">B20/4</f>
        <v>8532.330865</v>
      </c>
      <c r="D29" s="22" t="n">
        <v>0</v>
      </c>
      <c r="E29" s="52" t="str">
        <f aca="false">IF(D29&gt;=C29,"✅ Paid","⚠️ Due")</f>
        <v>⚠️ Due</v>
      </c>
    </row>
    <row r="30" customFormat="false" ht="15" hidden="false" customHeight="false" outlineLevel="0" collapsed="false">
      <c r="A30" s="31" t="s">
        <v>211</v>
      </c>
      <c r="B30" s="31" t="s">
        <v>212</v>
      </c>
      <c r="C30" s="19" t="n">
        <f aca="false">B20/4</f>
        <v>8532.330865</v>
      </c>
      <c r="D30" s="18" t="n">
        <v>0</v>
      </c>
      <c r="E30" s="50" t="str">
        <f aca="false">IF(D30&gt;=C30,"✅ Paid","⚠️ Due")</f>
        <v>⚠️ Due</v>
      </c>
    </row>
  </sheetData>
  <mergeCells count="4">
    <mergeCell ref="A1:E1"/>
    <mergeCell ref="A3:E3"/>
    <mergeCell ref="A12:E12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2026-03-30T17:55:35Z</dcterms:created>
  <dc:creator>openpyxl</dc:creator>
  <dc:description/>
  <dc:language>en-US</dc:language>
  <cp:lastModifiedBy/>
  <dcterms:modified xsi:type="dcterms:W3CDTF">2026-03-30T17:55:35Z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