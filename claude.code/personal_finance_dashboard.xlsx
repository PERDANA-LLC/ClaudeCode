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CTIONS" sheetId="2" state="visible" r:id="rId4"/>
    <sheet name="BUDGET" sheetId="3" state="visible" r:id="rId5"/>
    <sheet name="CASH FLOW" sheetId="4" state="visible" r:id="rId6"/>
    <sheet name="MORTGAGE" sheetId="5" state="visible" r:id="rId7"/>
    <sheet name="NET WORT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<sst xmlns="http://schemas.openxmlformats.org/spreadsheetml/2006/main" count="243" uniqueCount="165">
  <si>
    <t xml:space="preserve">PERSONAL FINANCE DASHBOARD</t>
  </si>
  <si>
    <t xml:space="preserve">NET WORTH</t>
  </si>
  <si>
    <t xml:space="preserve">MONTHLY CASH FLOW</t>
  </si>
  <si>
    <t xml:space="preserve">SAVINGS RATE</t>
  </si>
  <si>
    <t xml:space="preserve">BUDGET HEALTH</t>
  </si>
  <si>
    <t xml:space="preserve">▲ Live — updates automatically</t>
  </si>
  <si>
    <t xml:space="preserve">BUDGET STATUS — THIS MONTH</t>
  </si>
  <si>
    <t xml:space="preserve">Category</t>
  </si>
  <si>
    <t xml:space="preserve">Actual This Month</t>
  </si>
  <si>
    <t xml:space="preserve">Remaining Budget</t>
  </si>
  <si>
    <t xml:space="preserve">Housing</t>
  </si>
  <si>
    <t xml:space="preserve">Groceries</t>
  </si>
  <si>
    <t xml:space="preserve">Dining Out</t>
  </si>
  <si>
    <t xml:space="preserve">Transportation</t>
  </si>
  <si>
    <t xml:space="preserve">Utilities</t>
  </si>
  <si>
    <t xml:space="preserve">Subscriptions</t>
  </si>
  <si>
    <t xml:space="preserve">CASH FLOW PROJECTION — NEXT 90 DAYS</t>
  </si>
  <si>
    <t xml:space="preserve">Current Balance</t>
  </si>
  <si>
    <t xml:space="preserve">30-Day Projected</t>
  </si>
  <si>
    <t xml:space="preserve">60-Day Projected</t>
  </si>
  <si>
    <t xml:space="preserve">90-Day Projected</t>
  </si>
  <si>
    <t xml:space="preserve">MORTGAGE SNAPSHOT</t>
  </si>
  <si>
    <t xml:space="preserve">Monthly Payment</t>
  </si>
  <si>
    <t xml:space="preserve">Total Interest (life of loan)</t>
  </si>
  <si>
    <t xml:space="preserve">Home Equity</t>
  </si>
  <si>
    <t xml:space="preserve">Remaining Balance</t>
  </si>
  <si>
    <t xml:space="preserve">Blue = input cells you change  |  Black = formulas  |  Green = cross-sheet links  |  Update transactions monthly in the TRANSACTIONS tab</t>
  </si>
  <si>
    <t xml:space="preserve">Date</t>
  </si>
  <si>
    <t xml:space="preserve">Description</t>
  </si>
  <si>
    <t xml:space="preserve">Amount</t>
  </si>
  <si>
    <t xml:space="preserve">Type</t>
  </si>
  <si>
    <t xml:space="preserve">Account</t>
  </si>
  <si>
    <t xml:space="preserve">Month</t>
  </si>
  <si>
    <t xml:space="preserve">Employer Paycheck</t>
  </si>
  <si>
    <t xml:space="preserve">Salary</t>
  </si>
  <si>
    <t xml:space="preserve">Income</t>
  </si>
  <si>
    <t xml:space="preserve">Chase Checking</t>
  </si>
  <si>
    <t xml:space="preserve">Rent Payment</t>
  </si>
  <si>
    <t xml:space="preserve">Expense</t>
  </si>
  <si>
    <t xml:space="preserve">Whole Foods</t>
  </si>
  <si>
    <t xml:space="preserve">Amex</t>
  </si>
  <si>
    <t xml:space="preserve">Netflix</t>
  </si>
  <si>
    <t xml:space="preserve">Electric Bill</t>
  </si>
  <si>
    <t xml:space="preserve">Shell Gas Station</t>
  </si>
  <si>
    <t xml:space="preserve">Gas</t>
  </si>
  <si>
    <t xml:space="preserve">Restaurant Dinner</t>
  </si>
  <si>
    <t xml:space="preserve">Car Insurance</t>
  </si>
  <si>
    <t xml:space="preserve">Insurance</t>
  </si>
  <si>
    <t xml:space="preserve">Amazon Purchase</t>
  </si>
  <si>
    <t xml:space="preserve">Other Expense</t>
  </si>
  <si>
    <t xml:space="preserve">Freelance Project</t>
  </si>
  <si>
    <t xml:space="preserve">Freelance Income</t>
  </si>
  <si>
    <t xml:space="preserve">BUDGET — Current Month</t>
  </si>
  <si>
    <t xml:space="preserve">INCOME</t>
  </si>
  <si>
    <t xml:space="preserve">Budgeted</t>
  </si>
  <si>
    <t xml:space="preserve">Actual (This Month)</t>
  </si>
  <si>
    <t xml:space="preserve">Variance</t>
  </si>
  <si>
    <t xml:space="preserve">% of Budget</t>
  </si>
  <si>
    <t xml:space="preserve">Investment Income</t>
  </si>
  <si>
    <t xml:space="preserve">Other Income</t>
  </si>
  <si>
    <t xml:space="preserve">Total Income</t>
  </si>
  <si>
    <t xml:space="preserve">EXPENSES</t>
  </si>
  <si>
    <t xml:space="preserve">Remaining</t>
  </si>
  <si>
    <t xml:space="preserve">% Used</t>
  </si>
  <si>
    <t xml:space="preserve">Medical</t>
  </si>
  <si>
    <t xml:space="preserve">Entertainment</t>
  </si>
  <si>
    <t xml:space="preserve">Clothing</t>
  </si>
  <si>
    <t xml:space="preserve">Personal Care</t>
  </si>
  <si>
    <t xml:space="preserve">Education</t>
  </si>
  <si>
    <t xml:space="preserve">Savings</t>
  </si>
  <si>
    <t xml:space="preserve">Total Expenses</t>
  </si>
  <si>
    <t xml:space="preserve">MONTHLY SUMMARY</t>
  </si>
  <si>
    <t xml:space="preserve">Total Income Budgeted</t>
  </si>
  <si>
    <t xml:space="preserve">Total Income Actual</t>
  </si>
  <si>
    <t xml:space="preserve">Total Expenses Budgeted</t>
  </si>
  <si>
    <t xml:space="preserve">Total Expenses Actual</t>
  </si>
  <si>
    <t xml:space="preserve">Net Cash Flow</t>
  </si>
  <si>
    <t xml:space="preserve">Savings Rate</t>
  </si>
  <si>
    <t xml:space="preserve">Budget Health %</t>
  </si>
  <si>
    <t xml:space="preserve">CASH FLOW — 90-Day Projection</t>
  </si>
  <si>
    <t xml:space="preserve">Starting Balance (update monthly):</t>
  </si>
  <si>
    <t xml:space="preserve">RECURRING TRANSACTIONS</t>
  </si>
  <si>
    <t xml:space="preserve">Frequency</t>
  </si>
  <si>
    <t xml:space="preserve">Day of Month</t>
  </si>
  <si>
    <t xml:space="preserve">Monthly</t>
  </si>
  <si>
    <t xml:space="preserve">Rent</t>
  </si>
  <si>
    <t xml:space="preserve">90-DAY PROJECTION</t>
  </si>
  <si>
    <t xml:space="preserve">Day</t>
  </si>
  <si>
    <t xml:space="preserve">Sched. Income</t>
  </si>
  <si>
    <t xml:space="preserve">Sched. Expense</t>
  </si>
  <si>
    <t xml:space="preserve">Projected Balance</t>
  </si>
  <si>
    <t xml:space="preserve">MORTGAGE CALCULATOR &amp; AMORTIZATION SCHEDULE</t>
  </si>
  <si>
    <t xml:space="preserve">LOAN INPUTS</t>
  </si>
  <si>
    <t xml:space="preserve">Home Price</t>
  </si>
  <si>
    <t xml:space="preserve">Down Payment ($)</t>
  </si>
  <si>
    <t xml:space="preserve">Down Payment (%)</t>
  </si>
  <si>
    <t xml:space="preserve">Loan Amount</t>
  </si>
  <si>
    <t xml:space="preserve">Annual Interest Rate</t>
  </si>
  <si>
    <t xml:space="preserve">Loan Term (Years)</t>
  </si>
  <si>
    <t xml:space="preserve">Monthly Interest Rate</t>
  </si>
  <si>
    <t xml:space="preserve">Total Payments (months)</t>
  </si>
  <si>
    <t xml:space="preserve">Loan Start Date</t>
  </si>
  <si>
    <t xml:space="preserve">EXTRA PAYMENT SCENARIO</t>
  </si>
  <si>
    <t xml:space="preserve">Extra Monthly Payment</t>
  </si>
  <si>
    <t xml:space="preserve">New Monthly Total</t>
  </si>
  <si>
    <t xml:space="preserve">WHAT-IF COMPARISON</t>
  </si>
  <si>
    <t xml:space="preserve">Metric</t>
  </si>
  <si>
    <t xml:space="preserve">Standard Loan</t>
  </si>
  <si>
    <t xml:space="preserve">With Extra Payment</t>
  </si>
  <si>
    <t xml:space="preserve">Total Paid</t>
  </si>
  <si>
    <t xml:space="preserve">Total Interest</t>
  </si>
  <si>
    <t xml:space="preserve">Payoff Date</t>
  </si>
  <si>
    <t xml:space="preserve">Interest Saved</t>
  </si>
  <si>
    <t xml:space="preserve">—</t>
  </si>
  <si>
    <t xml:space="preserve">Months Saved</t>
  </si>
  <si>
    <t xml:space="preserve">AMORTIZATION SCHEDULE (360 months)</t>
  </si>
  <si>
    <t xml:space="preserve">Payment #</t>
  </si>
  <si>
    <t xml:space="preserve">Payment Date</t>
  </si>
  <si>
    <t xml:space="preserve">Payment</t>
  </si>
  <si>
    <t xml:space="preserve">Principal</t>
  </si>
  <si>
    <t xml:space="preserve">Interest</t>
  </si>
  <si>
    <t xml:space="preserve">Balance</t>
  </si>
  <si>
    <t xml:space="preserve">TOTALS</t>
  </si>
  <si>
    <t xml:space="preserve">NET WORTH TRACKER</t>
  </si>
  <si>
    <t xml:space="preserve">ASSETS</t>
  </si>
  <si>
    <t xml:space="preserve">Asset</t>
  </si>
  <si>
    <t xml:space="preserve">Current Value</t>
  </si>
  <si>
    <t xml:space="preserve">Notes</t>
  </si>
  <si>
    <t xml:space="preserve">Checking Account</t>
  </si>
  <si>
    <t xml:space="preserve">Update monthly</t>
  </si>
  <si>
    <t xml:space="preserve">Savings Account</t>
  </si>
  <si>
    <t xml:space="preserve">Investment Account</t>
  </si>
  <si>
    <t xml:space="preserve">Brokerage / taxable</t>
  </si>
  <si>
    <t xml:space="preserve">401k / Retirement</t>
  </si>
  <si>
    <t xml:space="preserve">Home Value</t>
  </si>
  <si>
    <t xml:space="preserve">Purchase price — update annually</t>
  </si>
  <si>
    <t xml:space="preserve">Vehicle(s)</t>
  </si>
  <si>
    <t xml:space="preserve">Other Assets</t>
  </si>
  <si>
    <t xml:space="preserve">Total Assets</t>
  </si>
  <si>
    <t xml:space="preserve">LIABILITIES</t>
  </si>
  <si>
    <t xml:space="preserve">Liability</t>
  </si>
  <si>
    <t xml:space="preserve">Mortgage Balance</t>
  </si>
  <si>
    <t xml:space="preserve">Link to amortization or enter current balance</t>
  </si>
  <si>
    <t xml:space="preserve">Car Loan</t>
  </si>
  <si>
    <t xml:space="preserve">Credit Card 1</t>
  </si>
  <si>
    <t xml:space="preserve">Credit Card 2</t>
  </si>
  <si>
    <t xml:space="preserve">Student Loans</t>
  </si>
  <si>
    <t xml:space="preserve">Other Debt</t>
  </si>
  <si>
    <t xml:space="preserve">Total Liabilities</t>
  </si>
  <si>
    <t xml:space="preserve">NET WORTH SUMMARY</t>
  </si>
  <si>
    <t xml:space="preserve">Debt-to-Asset Ratio</t>
  </si>
  <si>
    <t xml:space="preserve">MONTHLY SNAPSHOT — paste values here on 1st of each month</t>
  </si>
  <si>
    <t xml:space="preserve">Net Worth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</si>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</sst>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mm/dd/yyyy"/>
    <numFmt numFmtId="168" formatCode="\$#,##0.00"/>
    <numFmt numFmtId="169" formatCode="0"/>
    <numFmt numFmtId="170" formatCode="0.000%"/>
    <numFmt numFmtId="171" formatCode="mmm\ 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7030A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EEBF7"/>
      </patternFill>
    </fill>
    <fill>
      <patternFill patternType="solid">
        <fgColor rgb="FF375623"/>
        <bgColor rgb="FF333300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DEEBF7"/>
      </patternFill>
    </fill>
    <fill>
      <patternFill patternType="solid">
        <fgColor rgb="FFC55A11"/>
        <bgColor rgb="FF993300"/>
      </patternFill>
    </fill>
    <fill>
      <patternFill patternType="solid">
        <fgColor rgb="FFD9EAD3"/>
        <bgColor rgb="FFC6EFCE"/>
      </patternFill>
    </fill>
    <fill>
      <patternFill patternType="solid">
        <fgColor rgb="FFC6EFCE"/>
        <bgColor rgb="FFD9EAD3"/>
      </patternFill>
    </fill>
    <fill>
      <patternFill patternType="solid">
        <fgColor rgb="FFFCE4D6"/>
        <bgColor rgb="FFFFD7D7"/>
      </patternFill>
    </fill>
    <fill>
      <patternFill patternType="solid">
        <fgColor rgb="FFFFCCCC"/>
        <bgColor rgb="FFFFC7CE"/>
      </patternFill>
    </fill>
    <fill>
      <patternFill patternType="solid">
        <fgColor rgb="FFDEEBF7"/>
        <bgColor rgb="FFD9E1F2"/>
      </patternFill>
    </fill>
    <fill>
      <patternFill patternType="solid">
        <fgColor rgb="FFFFE699"/>
        <bgColor rgb="FFFFEB9C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  <fill>
      <patternFill patternType="solid">
        <fgColor rgb="FFFFD7D7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2F2F2"/>
      <rgbColor rgb="FFDEEBF7"/>
      <rgbColor rgb="FF660066"/>
      <rgbColor rgb="FFFF8080"/>
      <rgbColor rgb="FF0066CC"/>
      <rgbColor rgb="FFD9D2E9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EB9C"/>
      <rgbColor rgb="FFD9E1F2"/>
      <rgbColor rgb="FFFFC7CE"/>
      <rgbColor rgb="FFEAD1DC"/>
      <rgbColor rgb="FFFFCCCC"/>
      <rgbColor rgb="FF2E75B6"/>
      <rgbColor rgb="FF33CCCC"/>
      <rgbColor rgb="FF99CC00"/>
      <rgbColor rgb="FFFFD7D7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cheduledTransactions" displayName="ScheduledTransactions" ref="A6:E14" headerRowCount="1" totalsRowCount="0" totalsRowShown="0">
  <autoFilter ref="A6:E14"/>
  <tableColumns count="5">
    <tableColumn id="1" name="Description"/>
    <tableColumn id="2" name="Amount"/>
    <tableColumn id="3" name="Type"/>
    <tableColumn id="4" name="Frequency"/>
    <tableColumn id="5" name="Day of Month"/>
  </tableColumns>
</table>
</file>

<file path=xl/tables/table2.xml><?xml version="1.0" encoding="utf-8"?>
<table xmlns="http://schemas.openxmlformats.org/spreadsheetml/2006/main" id="2" name="Transactions" displayName="Transactions" ref="A1:G11" headerRowCount="1" totalsRowCount="0" totalsRowShown="0">
  <autoFilter ref="A1:G11"/>
  <tableColumns count="7">
    <tableColumn id="1" name="Date"/>
    <tableColumn id="2" name="Description"/>
    <tableColumn id="3" name="Category"/>
    <tableColumn id="4" name="Amount"/>
    <tableColumn id="5" name="Type"/>
    <tableColumn id="6" name="Account"/>
    <tableColumn id="7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24"/>
    <col collapsed="false" customWidth="true" hidden="false" outlineLevel="0" max="6" min="6" style="0" width="2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1" t="s">
        <v>0</v>
      </c>
      <c r="C2" s="1"/>
      <c r="D2" s="1"/>
      <c r="E2" s="1"/>
    </row>
    <row r="3" customFormat="false" ht="24" hidden="false" customHeight="true" outlineLevel="0" collapsed="false">
      <c r="B3" s="2" t="str">
        <f aca="true">TEXT(TODAY(),"MMMM YYYY")</f>
        <v>March 2026</v>
      </c>
      <c r="C3" s="2"/>
      <c r="D3" s="2"/>
      <c r="E3" s="2"/>
    </row>
    <row r="4" customFormat="false" ht="7.5" hidden="false" customHeight="true" outlineLevel="0" collapsed="false"/>
    <row r="5" customFormat="false" ht="18" hidden="false" customHeight="true" outlineLevel="0" collapsed="false">
      <c r="B5" s="3" t="s">
        <v>1</v>
      </c>
      <c r="C5" s="4" t="s">
        <v>2</v>
      </c>
      <c r="D5" s="5" t="s">
        <v>3</v>
      </c>
      <c r="E5" s="6" t="s">
        <v>4</v>
      </c>
    </row>
    <row r="6" customFormat="false" ht="39.75" hidden="false" customHeight="true" outlineLevel="0" collapsed="false">
      <c r="B6" s="7" t="n">
        <f aca="false">'NET WORTH'!B27</f>
        <v>234000</v>
      </c>
      <c r="C6" s="8" t="n">
        <f aca="false">BUDGET!B34</f>
        <v>3122</v>
      </c>
      <c r="D6" s="9" t="n">
        <f aca="false">BUDGET!B35</f>
        <v>0.538275862068966</v>
      </c>
      <c r="E6" s="10" t="n">
        <f aca="false">BUDGET!B36</f>
        <v>0.377932636469222</v>
      </c>
    </row>
    <row r="7" customFormat="false" ht="15.75" hidden="false" customHeight="true" outlineLevel="0" collapsed="false">
      <c r="B7" s="11" t="s">
        <v>5</v>
      </c>
      <c r="C7" s="11" t="s">
        <v>5</v>
      </c>
      <c r="D7" s="11" t="s">
        <v>5</v>
      </c>
      <c r="E7" s="11" t="s">
        <v>5</v>
      </c>
    </row>
    <row r="8" customFormat="false" ht="7.5" hidden="false" customHeight="true" outlineLevel="0" collapsed="false"/>
    <row r="9" customFormat="false" ht="21.75" hidden="false" customHeight="true" outlineLevel="0" collapsed="false">
      <c r="B9" s="12" t="s">
        <v>6</v>
      </c>
      <c r="C9" s="12"/>
      <c r="D9" s="12"/>
      <c r="E9" s="12"/>
    </row>
    <row r="10" customFormat="false" ht="15" hidden="false" customHeight="false" outlineLevel="0" collapsed="false">
      <c r="A10" s="13"/>
      <c r="B10" s="13" t="s">
        <v>7</v>
      </c>
      <c r="C10" s="13" t="s">
        <v>8</v>
      </c>
      <c r="D10" s="13" t="s">
        <v>9</v>
      </c>
    </row>
    <row r="11" customFormat="false" ht="18" hidden="false" customHeight="true" outlineLevel="0" collapsed="false">
      <c r="B11" s="14" t="s">
        <v>10</v>
      </c>
      <c r="C11" s="15" t="n">
        <f aca="false">SUMPRODUCT((Transactions[Type]="Expense")*(Transactions[Category]="Housing")*(Transactions[Month]=TEXT(TODAY(),"YYYY-MM"))*Transactions[Amount])</f>
        <v>2000</v>
      </c>
      <c r="D11" s="15" t="n">
        <f aca="false">2200-C11</f>
        <v>200</v>
      </c>
      <c r="E11" s="16"/>
    </row>
    <row r="12" customFormat="false" ht="18" hidden="false" customHeight="true" outlineLevel="0" collapsed="false">
      <c r="B12" s="14" t="s">
        <v>11</v>
      </c>
      <c r="C12" s="15" t="n">
        <f aca="false">SUMPRODUCT((Transactions[Type]="Expense")*(Transactions[Category]="Groceries")*(Transactions[Month]=TEXT(TODAY(),"YYYY-MM"))*Transactions[Amount])</f>
        <v>185</v>
      </c>
      <c r="D12" s="15" t="n">
        <f aca="false">500-C12</f>
        <v>315</v>
      </c>
      <c r="E12" s="16"/>
    </row>
    <row r="13" customFormat="false" ht="18" hidden="false" customHeight="true" outlineLevel="0" collapsed="false">
      <c r="B13" s="14" t="s">
        <v>12</v>
      </c>
      <c r="C13" s="15" t="n">
        <f aca="false">SUMPRODUCT((Transactions[Type]="Expense")*(Transactions[Category]="Dining Out")*(Transactions[Month]=TEXT(TODAY(),"YYYY-MM"))*Transactions[Amount])</f>
        <v>85</v>
      </c>
      <c r="D13" s="15" t="n">
        <f aca="false">200-C13</f>
        <v>115</v>
      </c>
      <c r="E13" s="16"/>
    </row>
    <row r="14" customFormat="false" ht="18" hidden="false" customHeight="true" outlineLevel="0" collapsed="false">
      <c r="B14" s="14" t="s">
        <v>13</v>
      </c>
      <c r="C14" s="15" t="n">
        <f aca="false">SUMPRODUCT((Transactions[Type]="Expense")*(Transactions[Category]="Transportation")*(Transactions[Month]=TEXT(TODAY(),"YYYY-MM"))*Transactions[Amount])</f>
        <v>0</v>
      </c>
      <c r="D14" s="15" t="n">
        <f aca="false">100-C14</f>
        <v>100</v>
      </c>
      <c r="E14" s="16"/>
    </row>
    <row r="15" customFormat="false" ht="18" hidden="false" customHeight="true" outlineLevel="0" collapsed="false">
      <c r="B15" s="14" t="s">
        <v>14</v>
      </c>
      <c r="C15" s="15" t="n">
        <f aca="false">SUMPRODUCT((Transactions[Type]="Expense")*(Transactions[Category]="Utilities")*(Transactions[Month]=TEXT(TODAY(),"YYYY-MM"))*Transactions[Amount])</f>
        <v>120</v>
      </c>
      <c r="D15" s="15" t="n">
        <f aca="false">150-C15</f>
        <v>30</v>
      </c>
      <c r="E15" s="16"/>
    </row>
    <row r="16" customFormat="false" ht="18" hidden="false" customHeight="true" outlineLevel="0" collapsed="false">
      <c r="B16" s="14" t="s">
        <v>15</v>
      </c>
      <c r="C16" s="15" t="n">
        <f aca="false">SUMPRODUCT((Transactions[Type]="Expense")*(Transactions[Category]="Subscriptions")*(Transactions[Month]=TEXT(TODAY(),"YYYY-MM"))*Transactions[Amount])</f>
        <v>18</v>
      </c>
      <c r="D16" s="15" t="n">
        <f aca="false">50-C16</f>
        <v>32</v>
      </c>
      <c r="E16" s="16"/>
    </row>
    <row r="18" customFormat="false" ht="7.5" hidden="false" customHeight="true" outlineLevel="0" collapsed="false"/>
    <row r="19" customFormat="false" ht="21.75" hidden="false" customHeight="true" outlineLevel="0" collapsed="false">
      <c r="B19" s="17" t="s">
        <v>16</v>
      </c>
      <c r="C19" s="17"/>
      <c r="D19" s="17"/>
      <c r="E19" s="17"/>
    </row>
    <row r="20" customFormat="false" ht="18" hidden="false" customHeight="true" outlineLevel="0" collapsed="false">
      <c r="B20" s="14" t="s">
        <v>17</v>
      </c>
      <c r="C20" s="18" t="n">
        <f aca="false">'CASH FLOW'!B3</f>
        <v>5000</v>
      </c>
      <c r="D20" s="16"/>
      <c r="E20" s="16"/>
    </row>
    <row r="21" customFormat="false" ht="18" hidden="false" customHeight="true" outlineLevel="0" collapsed="false">
      <c r="B21" s="14" t="s">
        <v>18</v>
      </c>
      <c r="C21" s="18" t="n">
        <f aca="false">'CASH FLOW'!E48</f>
        <v>7902</v>
      </c>
      <c r="D21" s="16"/>
      <c r="E21" s="16"/>
    </row>
    <row r="22" customFormat="false" ht="18" hidden="false" customHeight="true" outlineLevel="0" collapsed="false">
      <c r="B22" s="14" t="s">
        <v>19</v>
      </c>
      <c r="C22" s="18" t="n">
        <f aca="false">'CASH FLOW'!E78</f>
        <v>10804</v>
      </c>
      <c r="D22" s="16"/>
      <c r="E22" s="16"/>
    </row>
    <row r="23" customFormat="false" ht="18" hidden="false" customHeight="true" outlineLevel="0" collapsed="false">
      <c r="B23" s="14" t="s">
        <v>20</v>
      </c>
      <c r="C23" s="18" t="n">
        <f aca="false">'CASH FLOW'!E108</f>
        <v>13706</v>
      </c>
      <c r="D23" s="16"/>
      <c r="E23" s="16"/>
    </row>
    <row r="25" customFormat="false" ht="7.5" hidden="false" customHeight="true" outlineLevel="0" collapsed="false"/>
    <row r="26" customFormat="false" ht="21.75" hidden="false" customHeight="true" outlineLevel="0" collapsed="false">
      <c r="B26" s="19" t="s">
        <v>21</v>
      </c>
      <c r="C26" s="19"/>
      <c r="D26" s="19"/>
      <c r="E26" s="19"/>
    </row>
    <row r="27" customFormat="false" ht="18" hidden="false" customHeight="true" outlineLevel="0" collapsed="false">
      <c r="B27" s="14" t="s">
        <v>22</v>
      </c>
      <c r="C27" s="18" t="n">
        <f aca="false">MORTGAGE!B13</f>
        <v>2075.51390901829</v>
      </c>
      <c r="D27" s="16"/>
      <c r="E27" s="16"/>
    </row>
    <row r="28" customFormat="false" ht="18" hidden="false" customHeight="true" outlineLevel="0" collapsed="false">
      <c r="B28" s="14" t="s">
        <v>23</v>
      </c>
      <c r="C28" s="18" t="n">
        <f aca="false">MORTGAGE!E392</f>
        <v>427185.007246586</v>
      </c>
      <c r="D28" s="16"/>
      <c r="E28" s="16"/>
    </row>
    <row r="29" customFormat="false" ht="18" hidden="false" customHeight="true" outlineLevel="0" collapsed="false">
      <c r="B29" s="14" t="s">
        <v>24</v>
      </c>
      <c r="C29" s="18" t="n">
        <f aca="false">'NET WORTH'!B28</f>
        <v>80000</v>
      </c>
      <c r="D29" s="16"/>
      <c r="E29" s="16"/>
    </row>
    <row r="30" customFormat="false" ht="18" hidden="false" customHeight="true" outlineLevel="0" collapsed="false">
      <c r="B30" s="14" t="s">
        <v>25</v>
      </c>
      <c r="C30" s="18" t="n">
        <f aca="false">'NET WORTH'!B16</f>
        <v>320000</v>
      </c>
      <c r="D30" s="16"/>
      <c r="E30" s="16"/>
    </row>
    <row r="33" customFormat="false" ht="15" hidden="false" customHeight="false" outlineLevel="0" collapsed="false">
      <c r="B33" s="20" t="s">
        <v>26</v>
      </c>
      <c r="C33" s="20"/>
      <c r="D33" s="20"/>
      <c r="E33" s="20"/>
    </row>
  </sheetData>
  <mergeCells count="6">
    <mergeCell ref="B2:E2"/>
    <mergeCell ref="B3:E3"/>
    <mergeCell ref="B9:E9"/>
    <mergeCell ref="B19:E19"/>
    <mergeCell ref="B26:E26"/>
    <mergeCell ref="B33:E33"/>
  </mergeCells>
  <conditionalFormatting sqref="D11:D1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1" t="s">
        <v>27</v>
      </c>
      <c r="B1" s="21" t="s">
        <v>28</v>
      </c>
      <c r="C1" s="21" t="s">
        <v>7</v>
      </c>
      <c r="D1" s="21" t="s">
        <v>29</v>
      </c>
      <c r="E1" s="21" t="s">
        <v>30</v>
      </c>
      <c r="F1" s="21" t="s">
        <v>31</v>
      </c>
      <c r="G1" s="21" t="s">
        <v>32</v>
      </c>
    </row>
    <row r="2" customFormat="false" ht="15" hidden="false" customHeight="false" outlineLevel="0" collapsed="false">
      <c r="A2" s="22" t="n">
        <v>46082</v>
      </c>
      <c r="B2" s="14" t="s">
        <v>33</v>
      </c>
      <c r="C2" s="14" t="s">
        <v>34</v>
      </c>
      <c r="D2" s="23" t="n">
        <v>5000</v>
      </c>
      <c r="E2" s="14" t="s">
        <v>35</v>
      </c>
      <c r="F2" s="14" t="s">
        <v>36</v>
      </c>
      <c r="G2" s="14" t="str">
        <f aca="false">TEXT(A2,"YYYY-MM")</f>
        <v>2026-03</v>
      </c>
    </row>
    <row r="3" customFormat="false" ht="15" hidden="false" customHeight="false" outlineLevel="0" collapsed="false">
      <c r="A3" s="22" t="n">
        <v>46083</v>
      </c>
      <c r="B3" s="14" t="s">
        <v>37</v>
      </c>
      <c r="C3" s="14" t="s">
        <v>10</v>
      </c>
      <c r="D3" s="23" t="n">
        <v>2000</v>
      </c>
      <c r="E3" s="14" t="s">
        <v>38</v>
      </c>
      <c r="F3" s="14" t="s">
        <v>36</v>
      </c>
      <c r="G3" s="14" t="str">
        <f aca="false">TEXT(A3,"YYYY-MM")</f>
        <v>2026-03</v>
      </c>
    </row>
    <row r="4" customFormat="false" ht="15" hidden="false" customHeight="false" outlineLevel="0" collapsed="false">
      <c r="A4" s="22" t="n">
        <v>46086</v>
      </c>
      <c r="B4" s="14" t="s">
        <v>39</v>
      </c>
      <c r="C4" s="14" t="s">
        <v>11</v>
      </c>
      <c r="D4" s="23" t="n">
        <v>185</v>
      </c>
      <c r="E4" s="14" t="s">
        <v>38</v>
      </c>
      <c r="F4" s="14" t="s">
        <v>40</v>
      </c>
      <c r="G4" s="14" t="str">
        <f aca="false">TEXT(A4,"YYYY-MM")</f>
        <v>2026-03</v>
      </c>
    </row>
    <row r="5" customFormat="false" ht="15" hidden="false" customHeight="false" outlineLevel="0" collapsed="false">
      <c r="A5" s="22" t="n">
        <v>46089</v>
      </c>
      <c r="B5" s="14" t="s">
        <v>41</v>
      </c>
      <c r="C5" s="14" t="s">
        <v>15</v>
      </c>
      <c r="D5" s="23" t="n">
        <v>18</v>
      </c>
      <c r="E5" s="14" t="s">
        <v>38</v>
      </c>
      <c r="F5" s="14" t="s">
        <v>40</v>
      </c>
      <c r="G5" s="14" t="str">
        <f aca="false">TEXT(A5,"YYYY-MM")</f>
        <v>2026-03</v>
      </c>
    </row>
    <row r="6" customFormat="false" ht="15" hidden="false" customHeight="false" outlineLevel="0" collapsed="false">
      <c r="A6" s="22" t="n">
        <v>46091</v>
      </c>
      <c r="B6" s="14" t="s">
        <v>42</v>
      </c>
      <c r="C6" s="14" t="s">
        <v>14</v>
      </c>
      <c r="D6" s="23" t="n">
        <v>120</v>
      </c>
      <c r="E6" s="14" t="s">
        <v>38</v>
      </c>
      <c r="F6" s="14" t="s">
        <v>36</v>
      </c>
      <c r="G6" s="14" t="str">
        <f aca="false">TEXT(A6,"YYYY-MM")</f>
        <v>2026-03</v>
      </c>
    </row>
    <row r="7" customFormat="false" ht="15" hidden="false" customHeight="false" outlineLevel="0" collapsed="false">
      <c r="A7" s="22" t="n">
        <v>46093</v>
      </c>
      <c r="B7" s="14" t="s">
        <v>43</v>
      </c>
      <c r="C7" s="14" t="s">
        <v>44</v>
      </c>
      <c r="D7" s="23" t="n">
        <v>55</v>
      </c>
      <c r="E7" s="14" t="s">
        <v>38</v>
      </c>
      <c r="F7" s="14" t="s">
        <v>40</v>
      </c>
      <c r="G7" s="14" t="str">
        <f aca="false">TEXT(A7,"YYYY-MM")</f>
        <v>2026-03</v>
      </c>
    </row>
    <row r="8" customFormat="false" ht="15" hidden="false" customHeight="false" outlineLevel="0" collapsed="false">
      <c r="A8" s="22" t="n">
        <v>46096</v>
      </c>
      <c r="B8" s="14" t="s">
        <v>45</v>
      </c>
      <c r="C8" s="14" t="s">
        <v>12</v>
      </c>
      <c r="D8" s="23" t="n">
        <v>85</v>
      </c>
      <c r="E8" s="14" t="s">
        <v>38</v>
      </c>
      <c r="F8" s="14" t="s">
        <v>40</v>
      </c>
      <c r="G8" s="14" t="str">
        <f aca="false">TEXT(A8,"YYYY-MM")</f>
        <v>2026-03</v>
      </c>
    </row>
    <row r="9" customFormat="false" ht="15" hidden="false" customHeight="false" outlineLevel="0" collapsed="false">
      <c r="A9" s="22" t="n">
        <v>46099</v>
      </c>
      <c r="B9" s="14" t="s">
        <v>46</v>
      </c>
      <c r="C9" s="14" t="s">
        <v>47</v>
      </c>
      <c r="D9" s="23" t="n">
        <v>150</v>
      </c>
      <c r="E9" s="14" t="s">
        <v>38</v>
      </c>
      <c r="F9" s="14" t="s">
        <v>36</v>
      </c>
      <c r="G9" s="14" t="str">
        <f aca="false">TEXT(A9,"YYYY-MM")</f>
        <v>2026-03</v>
      </c>
    </row>
    <row r="10" customFormat="false" ht="15" hidden="false" customHeight="false" outlineLevel="0" collapsed="false">
      <c r="A10" s="22" t="n">
        <v>46101</v>
      </c>
      <c r="B10" s="14" t="s">
        <v>48</v>
      </c>
      <c r="C10" s="14" t="s">
        <v>49</v>
      </c>
      <c r="D10" s="23" t="n">
        <v>65</v>
      </c>
      <c r="E10" s="14" t="s">
        <v>38</v>
      </c>
      <c r="F10" s="14" t="s">
        <v>40</v>
      </c>
      <c r="G10" s="14" t="str">
        <f aca="false">TEXT(A10,"YYYY-MM")</f>
        <v>2026-03</v>
      </c>
    </row>
    <row r="11" customFormat="false" ht="15" hidden="false" customHeight="false" outlineLevel="0" collapsed="false">
      <c r="A11" s="22" t="n">
        <v>46103</v>
      </c>
      <c r="B11" s="14" t="s">
        <v>50</v>
      </c>
      <c r="C11" s="14" t="s">
        <v>51</v>
      </c>
      <c r="D11" s="23" t="n">
        <v>800</v>
      </c>
      <c r="E11" s="14" t="s">
        <v>35</v>
      </c>
      <c r="F11" s="14" t="s">
        <v>36</v>
      </c>
      <c r="G11" s="14" t="str">
        <f aca="false">TEXT(A11,"YYYY-MM")</f>
        <v>2026-03</v>
      </c>
    </row>
  </sheetData>
  <dataValidations count="2">
    <dataValidation allowBlank="false" errorStyle="stop" operator="between" showDropDown="false" showErrorMessage="false" showInputMessage="false" sqref="C2:C1011" type="list">
      <formula1>"Housing,Utilities,Groceries,Dining Out,Transportation,Gas,Insurance,Medical,Entertainment,Subscriptions,Clothing,Personal Care,Education,Savings,Investments,Mortgage Payment,Other Expense,Salary,Freelance Income,Investment Income,Other Income"</formula1>
      <formula2>0</formula2>
    </dataValidation>
    <dataValidation allowBlank="false" errorStyle="stop" operator="between" showDropDown="false" showErrorMessage="false" showInputMessage="false" sqref="E2:E1011" type="list">
      <formula1>"Income,Expense"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24" t="s">
        <v>52</v>
      </c>
      <c r="B1" s="24"/>
      <c r="C1" s="24"/>
      <c r="D1" s="24"/>
      <c r="E1" s="24"/>
    </row>
    <row r="2" customFormat="false" ht="19.5" hidden="false" customHeight="true" outlineLevel="0" collapsed="false">
      <c r="A2" s="25" t="s">
        <v>53</v>
      </c>
      <c r="B2" s="25"/>
      <c r="C2" s="25"/>
      <c r="D2" s="25"/>
      <c r="E2" s="25"/>
    </row>
    <row r="3" customFormat="false" ht="15" hidden="false" customHeight="false" outlineLevel="0" collapsed="false">
      <c r="A3" s="13" t="s">
        <v>7</v>
      </c>
      <c r="B3" s="13" t="s">
        <v>54</v>
      </c>
      <c r="C3" s="13" t="s">
        <v>55</v>
      </c>
      <c r="D3" s="13" t="s">
        <v>56</v>
      </c>
      <c r="E3" s="13" t="s">
        <v>57</v>
      </c>
    </row>
    <row r="4" customFormat="false" ht="15" hidden="false" customHeight="false" outlineLevel="0" collapsed="false">
      <c r="A4" s="14" t="s">
        <v>34</v>
      </c>
      <c r="B4" s="26" t="n">
        <v>5000</v>
      </c>
      <c r="C4" s="27" t="n">
        <f aca="false">SUMPRODUCT((Transactions[Type]="Income")*(Transactions[Category]=A4)*(Transactions[Month]=TEXT(TODAY(),"YYYY-MM"))*Transactions[Amount])</f>
        <v>5000</v>
      </c>
      <c r="D4" s="27" t="n">
        <f aca="false">C4-B4</f>
        <v>0</v>
      </c>
      <c r="E4" s="28" t="n">
        <f aca="false">IFERROR(C4/B4,0)</f>
        <v>1</v>
      </c>
    </row>
    <row r="5" customFormat="false" ht="15" hidden="false" customHeight="false" outlineLevel="0" collapsed="false">
      <c r="A5" s="14" t="s">
        <v>51</v>
      </c>
      <c r="B5" s="26" t="n">
        <v>800</v>
      </c>
      <c r="C5" s="27" t="n">
        <f aca="false">SUMPRODUCT((Transactions[Type]="Income")*(Transactions[Category]=A5)*(Transactions[Month]=TEXT(TODAY(),"YYYY-MM"))*Transactions[Amount])</f>
        <v>800</v>
      </c>
      <c r="D5" s="27" t="n">
        <f aca="false">C5-B5</f>
        <v>0</v>
      </c>
      <c r="E5" s="28" t="n">
        <f aca="false">IFERROR(C5/B5,0)</f>
        <v>1</v>
      </c>
    </row>
    <row r="6" customFormat="false" ht="15" hidden="false" customHeight="false" outlineLevel="0" collapsed="false">
      <c r="A6" s="14" t="s">
        <v>58</v>
      </c>
      <c r="B6" s="26" t="n">
        <v>0</v>
      </c>
      <c r="C6" s="27" t="n">
        <f aca="false">SUMPRODUCT((Transactions[Type]="Income")*(Transactions[Category]=A6)*(Transactions[Month]=TEXT(TODAY(),"YYYY-MM"))*Transactions[Amount])</f>
        <v>0</v>
      </c>
      <c r="D6" s="27" t="n">
        <f aca="false">C6-B6</f>
        <v>0</v>
      </c>
      <c r="E6" s="28" t="n">
        <f aca="false">IFERROR(C6/B6,0)</f>
        <v>0</v>
      </c>
    </row>
    <row r="7" customFormat="false" ht="15" hidden="false" customHeight="false" outlineLevel="0" collapsed="false">
      <c r="A7" s="14" t="s">
        <v>59</v>
      </c>
      <c r="B7" s="26" t="n">
        <v>0</v>
      </c>
      <c r="C7" s="27" t="n">
        <f aca="false">SUMPRODUCT((Transactions[Type]="Income")*(Transactions[Category]=A7)*(Transactions[Month]=TEXT(TODAY(),"YYYY-MM"))*Transactions[Amount])</f>
        <v>0</v>
      </c>
      <c r="D7" s="27" t="n">
        <f aca="false">C7-B7</f>
        <v>0</v>
      </c>
      <c r="E7" s="28" t="n">
        <f aca="false">IFERROR(C7/B7,0)</f>
        <v>0</v>
      </c>
    </row>
    <row r="8" customFormat="false" ht="15" hidden="false" customHeight="false" outlineLevel="0" collapsed="false">
      <c r="A8" s="29" t="s">
        <v>60</v>
      </c>
      <c r="B8" s="30" t="n">
        <f aca="false">SUM(B4:B7)</f>
        <v>5800</v>
      </c>
      <c r="C8" s="30" t="n">
        <f aca="false">SUM(C4:C7)</f>
        <v>5800</v>
      </c>
      <c r="D8" s="30" t="n">
        <f aca="false">SUM(D4:D7)</f>
        <v>0</v>
      </c>
      <c r="E8" s="31" t="n">
        <f aca="false">IFERROR(C8/B8,0)</f>
        <v>1</v>
      </c>
    </row>
    <row r="10" customFormat="false" ht="19.5" hidden="false" customHeight="true" outlineLevel="0" collapsed="false">
      <c r="A10" s="32" t="s">
        <v>61</v>
      </c>
      <c r="B10" s="32"/>
      <c r="C10" s="32"/>
      <c r="D10" s="32"/>
      <c r="E10" s="32"/>
    </row>
    <row r="11" customFormat="false" ht="15" hidden="false" customHeight="false" outlineLevel="0" collapsed="false">
      <c r="A11" s="33" t="s">
        <v>7</v>
      </c>
      <c r="B11" s="33" t="s">
        <v>54</v>
      </c>
      <c r="C11" s="33" t="s">
        <v>55</v>
      </c>
      <c r="D11" s="33" t="s">
        <v>62</v>
      </c>
      <c r="E11" s="33" t="s">
        <v>63</v>
      </c>
    </row>
    <row r="12" customFormat="false" ht="15" hidden="false" customHeight="false" outlineLevel="0" collapsed="false">
      <c r="A12" s="14" t="s">
        <v>10</v>
      </c>
      <c r="B12" s="26" t="n">
        <v>2200</v>
      </c>
      <c r="C12" s="27" t="n">
        <f aca="false">SUMPRODUCT((Transactions[Type]="Expense")*(Transactions[Category]=A12)*(Transactions[Month]=TEXT(TODAY(),"YYYY-MM"))*Transactions[Amount])</f>
        <v>2000</v>
      </c>
      <c r="D12" s="27" t="n">
        <f aca="false">B12-C12</f>
        <v>200</v>
      </c>
      <c r="E12" s="28" t="n">
        <f aca="false">IFERROR(C12/B12,0)</f>
        <v>0.909090909090909</v>
      </c>
    </row>
    <row r="13" customFormat="false" ht="15" hidden="false" customHeight="false" outlineLevel="0" collapsed="false">
      <c r="A13" s="14" t="s">
        <v>14</v>
      </c>
      <c r="B13" s="26" t="n">
        <v>150</v>
      </c>
      <c r="C13" s="27" t="n">
        <f aca="false">SUMPRODUCT((Transactions[Type]="Expense")*(Transactions[Category]=A13)*(Transactions[Month]=TEXT(TODAY(),"YYYY-MM"))*Transactions[Amount])</f>
        <v>120</v>
      </c>
      <c r="D13" s="27" t="n">
        <f aca="false">B13-C13</f>
        <v>30</v>
      </c>
      <c r="E13" s="28" t="n">
        <f aca="false">IFERROR(C13/B13,0)</f>
        <v>0.8</v>
      </c>
    </row>
    <row r="14" customFormat="false" ht="15" hidden="false" customHeight="false" outlineLevel="0" collapsed="false">
      <c r="A14" s="14" t="s">
        <v>11</v>
      </c>
      <c r="B14" s="26" t="n">
        <v>500</v>
      </c>
      <c r="C14" s="27" t="n">
        <f aca="false">SUMPRODUCT((Transactions[Type]="Expense")*(Transactions[Category]=A14)*(Transactions[Month]=TEXT(TODAY(),"YYYY-MM"))*Transactions[Amount])</f>
        <v>185</v>
      </c>
      <c r="D14" s="27" t="n">
        <f aca="false">B14-C14</f>
        <v>315</v>
      </c>
      <c r="E14" s="28" t="n">
        <f aca="false">IFERROR(C14/B14,0)</f>
        <v>0.37</v>
      </c>
    </row>
    <row r="15" customFormat="false" ht="15" hidden="false" customHeight="false" outlineLevel="0" collapsed="false">
      <c r="A15" s="14" t="s">
        <v>12</v>
      </c>
      <c r="B15" s="26" t="n">
        <v>200</v>
      </c>
      <c r="C15" s="27" t="n">
        <f aca="false">SUMPRODUCT((Transactions[Type]="Expense")*(Transactions[Category]=A15)*(Transactions[Month]=TEXT(TODAY(),"YYYY-MM"))*Transactions[Amount])</f>
        <v>85</v>
      </c>
      <c r="D15" s="27" t="n">
        <f aca="false">B15-C15</f>
        <v>115</v>
      </c>
      <c r="E15" s="28" t="n">
        <f aca="false">IFERROR(C15/B15,0)</f>
        <v>0.425</v>
      </c>
    </row>
    <row r="16" customFormat="false" ht="15" hidden="false" customHeight="false" outlineLevel="0" collapsed="false">
      <c r="A16" s="14" t="s">
        <v>13</v>
      </c>
      <c r="B16" s="26" t="n">
        <v>100</v>
      </c>
      <c r="C16" s="27" t="n">
        <f aca="false">SUMPRODUCT((Transactions[Type]="Expense")*(Transactions[Category]=A16)*(Transactions[Month]=TEXT(TODAY(),"YYYY-MM"))*Transactions[Amount])</f>
        <v>0</v>
      </c>
      <c r="D16" s="27" t="n">
        <f aca="false">B16-C16</f>
        <v>100</v>
      </c>
      <c r="E16" s="28" t="n">
        <f aca="false">IFERROR(C16/B16,0)</f>
        <v>0</v>
      </c>
    </row>
    <row r="17" customFormat="false" ht="15" hidden="false" customHeight="false" outlineLevel="0" collapsed="false">
      <c r="A17" s="14" t="s">
        <v>44</v>
      </c>
      <c r="B17" s="26" t="n">
        <v>80</v>
      </c>
      <c r="C17" s="27" t="n">
        <f aca="false">SUMPRODUCT((Transactions[Type]="Expense")*(Transactions[Category]=A17)*(Transactions[Month]=TEXT(TODAY(),"YYYY-MM"))*Transactions[Amount])</f>
        <v>55</v>
      </c>
      <c r="D17" s="27" t="n">
        <f aca="false">B17-C17</f>
        <v>25</v>
      </c>
      <c r="E17" s="28" t="n">
        <f aca="false">IFERROR(C17/B17,0)</f>
        <v>0.6875</v>
      </c>
    </row>
    <row r="18" customFormat="false" ht="15" hidden="false" customHeight="false" outlineLevel="0" collapsed="false">
      <c r="A18" s="14" t="s">
        <v>47</v>
      </c>
      <c r="B18" s="26" t="n">
        <v>150</v>
      </c>
      <c r="C18" s="27" t="n">
        <f aca="false">SUMPRODUCT((Transactions[Type]="Expense")*(Transactions[Category]=A18)*(Transactions[Month]=TEXT(TODAY(),"YYYY-MM"))*Transactions[Amount])</f>
        <v>150</v>
      </c>
      <c r="D18" s="27" t="n">
        <f aca="false">B18-C18</f>
        <v>0</v>
      </c>
      <c r="E18" s="28" t="n">
        <f aca="false">IFERROR(C18/B18,0)</f>
        <v>1</v>
      </c>
    </row>
    <row r="19" customFormat="false" ht="15" hidden="false" customHeight="false" outlineLevel="0" collapsed="false">
      <c r="A19" s="14" t="s">
        <v>64</v>
      </c>
      <c r="B19" s="26" t="n">
        <v>50</v>
      </c>
      <c r="C19" s="27" t="n">
        <f aca="false">SUMPRODUCT((Transactions[Type]="Expense")*(Transactions[Category]=A19)*(Transactions[Month]=TEXT(TODAY(),"YYYY-MM"))*Transactions[Amount])</f>
        <v>0</v>
      </c>
      <c r="D19" s="27" t="n">
        <f aca="false">B19-C19</f>
        <v>50</v>
      </c>
      <c r="E19" s="28" t="n">
        <f aca="false">IFERROR(C19/B19,0)</f>
        <v>0</v>
      </c>
    </row>
    <row r="20" customFormat="false" ht="15" hidden="false" customHeight="false" outlineLevel="0" collapsed="false">
      <c r="A20" s="14" t="s">
        <v>65</v>
      </c>
      <c r="B20" s="26" t="n">
        <v>100</v>
      </c>
      <c r="C20" s="27" t="n">
        <f aca="false">SUMPRODUCT((Transactions[Type]="Expense")*(Transactions[Category]=A20)*(Transactions[Month]=TEXT(TODAY(),"YYYY-MM"))*Transactions[Amount])</f>
        <v>0</v>
      </c>
      <c r="D20" s="27" t="n">
        <f aca="false">B20-C20</f>
        <v>100</v>
      </c>
      <c r="E20" s="28" t="n">
        <f aca="false">IFERROR(C20/B20,0)</f>
        <v>0</v>
      </c>
    </row>
    <row r="21" customFormat="false" ht="15" hidden="false" customHeight="false" outlineLevel="0" collapsed="false">
      <c r="A21" s="14" t="s">
        <v>15</v>
      </c>
      <c r="B21" s="26" t="n">
        <v>50</v>
      </c>
      <c r="C21" s="27" t="n">
        <f aca="false">SUMPRODUCT((Transactions[Type]="Expense")*(Transactions[Category]=A21)*(Transactions[Month]=TEXT(TODAY(),"YYYY-MM"))*Transactions[Amount])</f>
        <v>18</v>
      </c>
      <c r="D21" s="27" t="n">
        <f aca="false">B21-C21</f>
        <v>32</v>
      </c>
      <c r="E21" s="28" t="n">
        <f aca="false">IFERROR(C21/B21,0)</f>
        <v>0.36</v>
      </c>
    </row>
    <row r="22" customFormat="false" ht="15" hidden="false" customHeight="false" outlineLevel="0" collapsed="false">
      <c r="A22" s="14" t="s">
        <v>66</v>
      </c>
      <c r="B22" s="26" t="n">
        <v>75</v>
      </c>
      <c r="C22" s="27" t="n">
        <f aca="false">SUMPRODUCT((Transactions[Type]="Expense")*(Transactions[Category]=A22)*(Transactions[Month]=TEXT(TODAY(),"YYYY-MM"))*Transactions[Amount])</f>
        <v>0</v>
      </c>
      <c r="D22" s="27" t="n">
        <f aca="false">B22-C22</f>
        <v>75</v>
      </c>
      <c r="E22" s="28" t="n">
        <f aca="false">IFERROR(C22/B22,0)</f>
        <v>0</v>
      </c>
    </row>
    <row r="23" customFormat="false" ht="15" hidden="false" customHeight="false" outlineLevel="0" collapsed="false">
      <c r="A23" s="14" t="s">
        <v>67</v>
      </c>
      <c r="B23" s="26" t="n">
        <v>50</v>
      </c>
      <c r="C23" s="27" t="n">
        <f aca="false">SUMPRODUCT((Transactions[Type]="Expense")*(Transactions[Category]=A23)*(Transactions[Month]=TEXT(TODAY(),"YYYY-MM"))*Transactions[Amount])</f>
        <v>0</v>
      </c>
      <c r="D23" s="27" t="n">
        <f aca="false">B23-C23</f>
        <v>50</v>
      </c>
      <c r="E23" s="28" t="n">
        <f aca="false">IFERROR(C23/B23,0)</f>
        <v>0</v>
      </c>
    </row>
    <row r="24" customFormat="false" ht="15" hidden="false" customHeight="false" outlineLevel="0" collapsed="false">
      <c r="A24" s="14" t="s">
        <v>68</v>
      </c>
      <c r="B24" s="26" t="n">
        <v>0</v>
      </c>
      <c r="C24" s="27" t="n">
        <f aca="false">SUMPRODUCT((Transactions[Type]="Expense")*(Transactions[Category]=A24)*(Transactions[Month]=TEXT(TODAY(),"YYYY-MM"))*Transactions[Amount])</f>
        <v>0</v>
      </c>
      <c r="D24" s="27" t="n">
        <f aca="false">B24-C24</f>
        <v>0</v>
      </c>
      <c r="E24" s="28" t="n">
        <f aca="false">IFERROR(C24/B24,0)</f>
        <v>0</v>
      </c>
    </row>
    <row r="25" customFormat="false" ht="15" hidden="false" customHeight="false" outlineLevel="0" collapsed="false">
      <c r="A25" s="14" t="s">
        <v>69</v>
      </c>
      <c r="B25" s="26" t="n">
        <v>500</v>
      </c>
      <c r="C25" s="27" t="n">
        <f aca="false">SUMPRODUCT((Transactions[Type]="Expense")*(Transactions[Category]=A25)*(Transactions[Month]=TEXT(TODAY(),"YYYY-MM"))*Transactions[Amount])</f>
        <v>0</v>
      </c>
      <c r="D25" s="27" t="n">
        <f aca="false">B25-C25</f>
        <v>500</v>
      </c>
      <c r="E25" s="28" t="n">
        <f aca="false">IFERROR(C25/B25,0)</f>
        <v>0</v>
      </c>
    </row>
    <row r="26" customFormat="false" ht="15" hidden="false" customHeight="false" outlineLevel="0" collapsed="false">
      <c r="A26" s="14" t="s">
        <v>49</v>
      </c>
      <c r="B26" s="26" t="n">
        <v>100</v>
      </c>
      <c r="C26" s="27" t="n">
        <f aca="false">SUMPRODUCT((Transactions[Type]="Expense")*(Transactions[Category]=A26)*(Transactions[Month]=TEXT(TODAY(),"YYYY-MM"))*Transactions[Amount])</f>
        <v>65</v>
      </c>
      <c r="D26" s="27" t="n">
        <f aca="false">B26-C26</f>
        <v>35</v>
      </c>
      <c r="E26" s="28" t="n">
        <f aca="false">IFERROR(C26/B26,0)</f>
        <v>0.65</v>
      </c>
    </row>
    <row r="27" customFormat="false" ht="15" hidden="false" customHeight="false" outlineLevel="0" collapsed="false">
      <c r="A27" s="34" t="s">
        <v>70</v>
      </c>
      <c r="B27" s="35" t="n">
        <f aca="false">SUM(B12:B26)</f>
        <v>4305</v>
      </c>
      <c r="C27" s="35" t="n">
        <f aca="false">SUM(C12:C26)</f>
        <v>2678</v>
      </c>
      <c r="D27" s="35" t="n">
        <f aca="false">SUM(D12:D26)</f>
        <v>1627</v>
      </c>
      <c r="E27" s="36" t="n">
        <f aca="false">IFERROR(C27/B27,0)</f>
        <v>0.622067363530778</v>
      </c>
    </row>
    <row r="29" customFormat="false" ht="19.5" hidden="false" customHeight="true" outlineLevel="0" collapsed="false">
      <c r="A29" s="37" t="s">
        <v>71</v>
      </c>
      <c r="B29" s="37"/>
    </row>
    <row r="30" customFormat="false" ht="15" hidden="false" customHeight="false" outlineLevel="0" collapsed="false">
      <c r="A30" s="38" t="s">
        <v>72</v>
      </c>
      <c r="B30" s="27" t="n">
        <f aca="false">B8</f>
        <v>5800</v>
      </c>
    </row>
    <row r="31" customFormat="false" ht="15" hidden="false" customHeight="false" outlineLevel="0" collapsed="false">
      <c r="A31" s="38" t="s">
        <v>73</v>
      </c>
      <c r="B31" s="27" t="n">
        <f aca="false">C8</f>
        <v>5800</v>
      </c>
    </row>
    <row r="32" customFormat="false" ht="15" hidden="false" customHeight="false" outlineLevel="0" collapsed="false">
      <c r="A32" s="38" t="s">
        <v>74</v>
      </c>
      <c r="B32" s="27" t="n">
        <f aca="false">B27</f>
        <v>4305</v>
      </c>
    </row>
    <row r="33" customFormat="false" ht="15" hidden="false" customHeight="false" outlineLevel="0" collapsed="false">
      <c r="A33" s="38" t="s">
        <v>75</v>
      </c>
      <c r="B33" s="27" t="n">
        <f aca="false">C27</f>
        <v>2678</v>
      </c>
    </row>
    <row r="34" customFormat="false" ht="15" hidden="false" customHeight="false" outlineLevel="0" collapsed="false">
      <c r="A34" s="38" t="s">
        <v>76</v>
      </c>
      <c r="B34" s="27" t="n">
        <f aca="false">C8-C27</f>
        <v>3122</v>
      </c>
    </row>
    <row r="35" customFormat="false" ht="15" hidden="false" customHeight="false" outlineLevel="0" collapsed="false">
      <c r="A35" s="38" t="s">
        <v>77</v>
      </c>
      <c r="B35" s="28" t="n">
        <f aca="false">IFERROR((C8-C27)/C8,0)</f>
        <v>0.538275862068966</v>
      </c>
    </row>
    <row r="36" customFormat="false" ht="15" hidden="false" customHeight="false" outlineLevel="0" collapsed="false">
      <c r="A36" s="38" t="s">
        <v>78</v>
      </c>
      <c r="B36" s="28" t="n">
        <f aca="false">IFERROR(1-(C27/B27),0)</f>
        <v>0.377932636469222</v>
      </c>
    </row>
  </sheetData>
  <mergeCells count="4">
    <mergeCell ref="A1:E1"/>
    <mergeCell ref="A2:E2"/>
    <mergeCell ref="A10:E10"/>
    <mergeCell ref="A29:B29"/>
  </mergeCells>
  <conditionalFormatting sqref="D12:D26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39" t="s">
        <v>79</v>
      </c>
      <c r="B1" s="39"/>
      <c r="C1" s="39"/>
      <c r="D1" s="39"/>
      <c r="E1" s="39"/>
    </row>
    <row r="3" customFormat="false" ht="15" hidden="false" customHeight="false" outlineLevel="0" collapsed="false">
      <c r="A3" s="40" t="s">
        <v>80</v>
      </c>
      <c r="B3" s="26" t="n">
        <v>5000</v>
      </c>
    </row>
    <row r="5" customFormat="false" ht="19.5" hidden="false" customHeight="true" outlineLevel="0" collapsed="false">
      <c r="A5" s="41" t="s">
        <v>81</v>
      </c>
      <c r="B5" s="41"/>
      <c r="C5" s="41"/>
      <c r="D5" s="41"/>
      <c r="E5" s="41"/>
    </row>
    <row r="6" customFormat="false" ht="15" hidden="false" customHeight="false" outlineLevel="0" collapsed="false">
      <c r="A6" s="42" t="s">
        <v>28</v>
      </c>
      <c r="B6" s="42" t="s">
        <v>29</v>
      </c>
      <c r="C6" s="42" t="s">
        <v>30</v>
      </c>
      <c r="D6" s="42" t="s">
        <v>82</v>
      </c>
      <c r="E6" s="42" t="s">
        <v>83</v>
      </c>
    </row>
    <row r="7" customFormat="false" ht="15" hidden="false" customHeight="false" outlineLevel="0" collapsed="false">
      <c r="A7" s="43" t="s">
        <v>34</v>
      </c>
      <c r="B7" s="26" t="n">
        <v>5000</v>
      </c>
      <c r="C7" s="43" t="s">
        <v>35</v>
      </c>
      <c r="D7" s="43" t="s">
        <v>84</v>
      </c>
      <c r="E7" s="43" t="n">
        <v>1</v>
      </c>
    </row>
    <row r="8" customFormat="false" ht="15" hidden="false" customHeight="false" outlineLevel="0" collapsed="false">
      <c r="A8" s="43" t="s">
        <v>51</v>
      </c>
      <c r="B8" s="26" t="n">
        <v>800</v>
      </c>
      <c r="C8" s="43" t="s">
        <v>35</v>
      </c>
      <c r="D8" s="43" t="s">
        <v>84</v>
      </c>
      <c r="E8" s="43" t="n">
        <v>15</v>
      </c>
    </row>
    <row r="9" customFormat="false" ht="15" hidden="false" customHeight="false" outlineLevel="0" collapsed="false">
      <c r="A9" s="43" t="s">
        <v>85</v>
      </c>
      <c r="B9" s="26" t="n">
        <v>2000</v>
      </c>
      <c r="C9" s="43" t="s">
        <v>38</v>
      </c>
      <c r="D9" s="43" t="s">
        <v>84</v>
      </c>
      <c r="E9" s="43" t="n">
        <v>1</v>
      </c>
    </row>
    <row r="10" customFormat="false" ht="15" hidden="false" customHeight="false" outlineLevel="0" collapsed="false">
      <c r="A10" s="43" t="s">
        <v>46</v>
      </c>
      <c r="B10" s="26" t="n">
        <v>150</v>
      </c>
      <c r="C10" s="43" t="s">
        <v>38</v>
      </c>
      <c r="D10" s="43" t="s">
        <v>84</v>
      </c>
      <c r="E10" s="43" t="n">
        <v>15</v>
      </c>
    </row>
    <row r="11" customFormat="false" ht="15" hidden="false" customHeight="false" outlineLevel="0" collapsed="false">
      <c r="A11" s="43" t="s">
        <v>41</v>
      </c>
      <c r="B11" s="26" t="n">
        <v>18</v>
      </c>
      <c r="C11" s="43" t="s">
        <v>38</v>
      </c>
      <c r="D11" s="43" t="s">
        <v>84</v>
      </c>
      <c r="E11" s="43" t="n">
        <v>22</v>
      </c>
    </row>
    <row r="12" customFormat="false" ht="15" hidden="false" customHeight="false" outlineLevel="0" collapsed="false">
      <c r="A12" s="43" t="s">
        <v>14</v>
      </c>
      <c r="B12" s="26" t="n">
        <v>150</v>
      </c>
      <c r="C12" s="43" t="s">
        <v>38</v>
      </c>
      <c r="D12" s="43" t="s">
        <v>84</v>
      </c>
      <c r="E12" s="43" t="n">
        <v>10</v>
      </c>
    </row>
    <row r="13" customFormat="false" ht="15" hidden="false" customHeight="false" outlineLevel="0" collapsed="false">
      <c r="A13" s="43" t="s">
        <v>11</v>
      </c>
      <c r="B13" s="26" t="n">
        <v>500</v>
      </c>
      <c r="C13" s="43" t="s">
        <v>38</v>
      </c>
      <c r="D13" s="43" t="s">
        <v>84</v>
      </c>
      <c r="E13" s="43" t="n">
        <v>5</v>
      </c>
    </row>
    <row r="14" customFormat="false" ht="15" hidden="false" customHeight="false" outlineLevel="0" collapsed="false">
      <c r="A14" s="43" t="s">
        <v>44</v>
      </c>
      <c r="B14" s="26" t="n">
        <v>80</v>
      </c>
      <c r="C14" s="43" t="s">
        <v>38</v>
      </c>
      <c r="D14" s="43" t="s">
        <v>84</v>
      </c>
      <c r="E14" s="43" t="n">
        <v>12</v>
      </c>
    </row>
    <row r="17" customFormat="false" ht="19.5" hidden="false" customHeight="true" outlineLevel="0" collapsed="false">
      <c r="A17" s="41" t="s">
        <v>86</v>
      </c>
      <c r="B17" s="41"/>
      <c r="C17" s="41"/>
      <c r="D17" s="41"/>
      <c r="E17" s="41"/>
    </row>
    <row r="18" customFormat="false" ht="15" hidden="false" customHeight="false" outlineLevel="0" collapsed="false">
      <c r="A18" s="42" t="s">
        <v>27</v>
      </c>
      <c r="B18" s="42" t="s">
        <v>87</v>
      </c>
      <c r="C18" s="42" t="s">
        <v>88</v>
      </c>
      <c r="D18" s="42" t="s">
        <v>89</v>
      </c>
      <c r="E18" s="42" t="s">
        <v>90</v>
      </c>
    </row>
    <row r="19" customFormat="false" ht="15" hidden="false" customHeight="false" outlineLevel="0" collapsed="false">
      <c r="A19" s="44" t="n">
        <f aca="true">TODAY()</f>
        <v>46111</v>
      </c>
      <c r="B19" s="14" t="str">
        <f aca="false">TEXT(A19,"ddd")</f>
        <v>Mon</v>
      </c>
      <c r="C19" s="27" t="n">
        <f aca="false">SUMPRODUCT((ScheduledTransactions[Type]="Income")*(DAY(A19)=ScheduledTransactions[Day of Month])*ScheduledTransactions[Amount])</f>
        <v>0</v>
      </c>
      <c r="D19" s="27" t="n">
        <f aca="false">SUMPRODUCT((ScheduledTransactions[Type]="Expense")*(DAY(A19)=ScheduledTransactions[Day of Month])*ScheduledTransactions[Amount])</f>
        <v>0</v>
      </c>
      <c r="E19" s="27" t="n">
        <f aca="false">B3+C19-D19</f>
        <v>5000</v>
      </c>
    </row>
    <row r="20" customFormat="false" ht="15" hidden="false" customHeight="false" outlineLevel="0" collapsed="false">
      <c r="A20" s="44" t="n">
        <f aca="false">A19+1</f>
        <v>46112</v>
      </c>
      <c r="B20" s="14" t="str">
        <f aca="false">TEXT(A20,"ddd")</f>
        <v>Tue</v>
      </c>
      <c r="C20" s="27" t="n">
        <f aca="false">SUMPRODUCT((ScheduledTransactions[Type]="Income")*(DAY(A20)=ScheduledTransactions[Day of Month])*ScheduledTransactions[Amount])</f>
        <v>0</v>
      </c>
      <c r="D20" s="27" t="n">
        <f aca="false">SUMPRODUCT((ScheduledTransactions[Type]="Expense")*(DAY(A20)=ScheduledTransactions[Day of Month])*ScheduledTransactions[Amount])</f>
        <v>0</v>
      </c>
      <c r="E20" s="27" t="n">
        <f aca="false">E19+C20-D20</f>
        <v>5000</v>
      </c>
    </row>
    <row r="21" customFormat="false" ht="15" hidden="false" customHeight="false" outlineLevel="0" collapsed="false">
      <c r="A21" s="44" t="n">
        <f aca="false">A20+1</f>
        <v>46113</v>
      </c>
      <c r="B21" s="14" t="str">
        <f aca="false">TEXT(A21,"ddd")</f>
        <v>Wed</v>
      </c>
      <c r="C21" s="27" t="n">
        <f aca="false">SUMPRODUCT((ScheduledTransactions[Type]="Income")*(DAY(A21)=ScheduledTransactions[Day of Month])*ScheduledTransactions[Amount])</f>
        <v>5000</v>
      </c>
      <c r="D21" s="27" t="n">
        <f aca="false">SUMPRODUCT((ScheduledTransactions[Type]="Expense")*(DAY(A21)=ScheduledTransactions[Day of Month])*ScheduledTransactions[Amount])</f>
        <v>2000</v>
      </c>
      <c r="E21" s="27" t="n">
        <f aca="false">E20+C21-D21</f>
        <v>8000</v>
      </c>
    </row>
    <row r="22" customFormat="false" ht="15" hidden="false" customHeight="false" outlineLevel="0" collapsed="false">
      <c r="A22" s="44" t="n">
        <f aca="false">A21+1</f>
        <v>46114</v>
      </c>
      <c r="B22" s="14" t="str">
        <f aca="false">TEXT(A22,"ddd")</f>
        <v>Thu</v>
      </c>
      <c r="C22" s="27" t="n">
        <f aca="false">SUMPRODUCT((ScheduledTransactions[Type]="Income")*(DAY(A22)=ScheduledTransactions[Day of Month])*ScheduledTransactions[Amount])</f>
        <v>0</v>
      </c>
      <c r="D22" s="27" t="n">
        <f aca="false">SUMPRODUCT((ScheduledTransactions[Type]="Expense")*(DAY(A22)=ScheduledTransactions[Day of Month])*ScheduledTransactions[Amount])</f>
        <v>0</v>
      </c>
      <c r="E22" s="27" t="n">
        <f aca="false">E21+C22-D22</f>
        <v>8000</v>
      </c>
    </row>
    <row r="23" customFormat="false" ht="15" hidden="false" customHeight="false" outlineLevel="0" collapsed="false">
      <c r="A23" s="44" t="n">
        <f aca="false">A22+1</f>
        <v>46115</v>
      </c>
      <c r="B23" s="14" t="str">
        <f aca="false">TEXT(A23,"ddd")</f>
        <v>Fri</v>
      </c>
      <c r="C23" s="27" t="n">
        <f aca="false">SUMPRODUCT((ScheduledTransactions[Type]="Income")*(DAY(A23)=ScheduledTransactions[Day of Month])*ScheduledTransactions[Amount])</f>
        <v>0</v>
      </c>
      <c r="D23" s="27" t="n">
        <f aca="false">SUMPRODUCT((ScheduledTransactions[Type]="Expense")*(DAY(A23)=ScheduledTransactions[Day of Month])*ScheduledTransactions[Amount])</f>
        <v>0</v>
      </c>
      <c r="E23" s="27" t="n">
        <f aca="false">E22+C23-D23</f>
        <v>8000</v>
      </c>
    </row>
    <row r="24" customFormat="false" ht="15" hidden="false" customHeight="false" outlineLevel="0" collapsed="false">
      <c r="A24" s="44" t="n">
        <f aca="false">A23+1</f>
        <v>46116</v>
      </c>
      <c r="B24" s="14" t="str">
        <f aca="false">TEXT(A24,"ddd")</f>
        <v>Sat</v>
      </c>
      <c r="C24" s="27" t="n">
        <f aca="false">SUMPRODUCT((ScheduledTransactions[Type]="Income")*(DAY(A24)=ScheduledTransactions[Day of Month])*ScheduledTransactions[Amount])</f>
        <v>0</v>
      </c>
      <c r="D24" s="27" t="n">
        <f aca="false">SUMPRODUCT((ScheduledTransactions[Type]="Expense")*(DAY(A24)=ScheduledTransactions[Day of Month])*ScheduledTransactions[Amount])</f>
        <v>0</v>
      </c>
      <c r="E24" s="27" t="n">
        <f aca="false">E23+C24-D24</f>
        <v>8000</v>
      </c>
    </row>
    <row r="25" customFormat="false" ht="15" hidden="false" customHeight="false" outlineLevel="0" collapsed="false">
      <c r="A25" s="44" t="n">
        <f aca="false">A24+1</f>
        <v>46117</v>
      </c>
      <c r="B25" s="14" t="str">
        <f aca="false">TEXT(A25,"ddd")</f>
        <v>Sun</v>
      </c>
      <c r="C25" s="27" t="n">
        <f aca="false">SUMPRODUCT((ScheduledTransactions[Type]="Income")*(DAY(A25)=ScheduledTransactions[Day of Month])*ScheduledTransactions[Amount])</f>
        <v>0</v>
      </c>
      <c r="D25" s="27" t="n">
        <f aca="false">SUMPRODUCT((ScheduledTransactions[Type]="Expense")*(DAY(A25)=ScheduledTransactions[Day of Month])*ScheduledTransactions[Amount])</f>
        <v>500</v>
      </c>
      <c r="E25" s="27" t="n">
        <f aca="false">E24+C25-D25</f>
        <v>7500</v>
      </c>
    </row>
    <row r="26" customFormat="false" ht="15" hidden="false" customHeight="false" outlineLevel="0" collapsed="false">
      <c r="A26" s="44" t="n">
        <f aca="false">A25+1</f>
        <v>46118</v>
      </c>
      <c r="B26" s="14" t="str">
        <f aca="false">TEXT(A26,"ddd")</f>
        <v>Mon</v>
      </c>
      <c r="C26" s="27" t="n">
        <f aca="false">SUMPRODUCT((ScheduledTransactions[Type]="Income")*(DAY(A26)=ScheduledTransactions[Day of Month])*ScheduledTransactions[Amount])</f>
        <v>0</v>
      </c>
      <c r="D26" s="27" t="n">
        <f aca="false">SUMPRODUCT((ScheduledTransactions[Type]="Expense")*(DAY(A26)=ScheduledTransactions[Day of Month])*ScheduledTransactions[Amount])</f>
        <v>0</v>
      </c>
      <c r="E26" s="27" t="n">
        <f aca="false">E25+C26-D26</f>
        <v>7500</v>
      </c>
    </row>
    <row r="27" customFormat="false" ht="15" hidden="false" customHeight="false" outlineLevel="0" collapsed="false">
      <c r="A27" s="44" t="n">
        <f aca="false">A26+1</f>
        <v>46119</v>
      </c>
      <c r="B27" s="14" t="str">
        <f aca="false">TEXT(A27,"ddd")</f>
        <v>Tue</v>
      </c>
      <c r="C27" s="27" t="n">
        <f aca="false">SUMPRODUCT((ScheduledTransactions[Type]="Income")*(DAY(A27)=ScheduledTransactions[Day of Month])*ScheduledTransactions[Amount])</f>
        <v>0</v>
      </c>
      <c r="D27" s="27" t="n">
        <f aca="false">SUMPRODUCT((ScheduledTransactions[Type]="Expense")*(DAY(A27)=ScheduledTransactions[Day of Month])*ScheduledTransactions[Amount])</f>
        <v>0</v>
      </c>
      <c r="E27" s="27" t="n">
        <f aca="false">E26+C27-D27</f>
        <v>7500</v>
      </c>
    </row>
    <row r="28" customFormat="false" ht="15" hidden="false" customHeight="false" outlineLevel="0" collapsed="false">
      <c r="A28" s="44" t="n">
        <f aca="false">A27+1</f>
        <v>46120</v>
      </c>
      <c r="B28" s="14" t="str">
        <f aca="false">TEXT(A28,"ddd")</f>
        <v>Wed</v>
      </c>
      <c r="C28" s="27" t="n">
        <f aca="false">SUMPRODUCT((ScheduledTransactions[Type]="Income")*(DAY(A28)=ScheduledTransactions[Day of Month])*ScheduledTransactions[Amount])</f>
        <v>0</v>
      </c>
      <c r="D28" s="27" t="n">
        <f aca="false">SUMPRODUCT((ScheduledTransactions[Type]="Expense")*(DAY(A28)=ScheduledTransactions[Day of Month])*ScheduledTransactions[Amount])</f>
        <v>0</v>
      </c>
      <c r="E28" s="27" t="n">
        <f aca="false">E27+C28-D28</f>
        <v>7500</v>
      </c>
    </row>
    <row r="29" customFormat="false" ht="15" hidden="false" customHeight="false" outlineLevel="0" collapsed="false">
      <c r="A29" s="44" t="n">
        <f aca="false">A28+1</f>
        <v>46121</v>
      </c>
      <c r="B29" s="14" t="str">
        <f aca="false">TEXT(A29,"ddd")</f>
        <v>Thu</v>
      </c>
      <c r="C29" s="27" t="n">
        <f aca="false">SUMPRODUCT((ScheduledTransactions[Type]="Income")*(DAY(A29)=ScheduledTransactions[Day of Month])*ScheduledTransactions[Amount])</f>
        <v>0</v>
      </c>
      <c r="D29" s="27" t="n">
        <f aca="false">SUMPRODUCT((ScheduledTransactions[Type]="Expense")*(DAY(A29)=ScheduledTransactions[Day of Month])*ScheduledTransactions[Amount])</f>
        <v>0</v>
      </c>
      <c r="E29" s="27" t="n">
        <f aca="false">E28+C29-D29</f>
        <v>7500</v>
      </c>
    </row>
    <row r="30" customFormat="false" ht="15" hidden="false" customHeight="false" outlineLevel="0" collapsed="false">
      <c r="A30" s="44" t="n">
        <f aca="false">A29+1</f>
        <v>46122</v>
      </c>
      <c r="B30" s="14" t="str">
        <f aca="false">TEXT(A30,"ddd")</f>
        <v>Fri</v>
      </c>
      <c r="C30" s="27" t="n">
        <f aca="false">SUMPRODUCT((ScheduledTransactions[Type]="Income")*(DAY(A30)=ScheduledTransactions[Day of Month])*ScheduledTransactions[Amount])</f>
        <v>0</v>
      </c>
      <c r="D30" s="27" t="n">
        <f aca="false">SUMPRODUCT((ScheduledTransactions[Type]="Expense")*(DAY(A30)=ScheduledTransactions[Day of Month])*ScheduledTransactions[Amount])</f>
        <v>150</v>
      </c>
      <c r="E30" s="27" t="n">
        <f aca="false">E29+C30-D30</f>
        <v>7350</v>
      </c>
    </row>
    <row r="31" customFormat="false" ht="15" hidden="false" customHeight="false" outlineLevel="0" collapsed="false">
      <c r="A31" s="44" t="n">
        <f aca="false">A30+1</f>
        <v>46123</v>
      </c>
      <c r="B31" s="14" t="str">
        <f aca="false">TEXT(A31,"ddd")</f>
        <v>Sat</v>
      </c>
      <c r="C31" s="27" t="n">
        <f aca="false">SUMPRODUCT((ScheduledTransactions[Type]="Income")*(DAY(A31)=ScheduledTransactions[Day of Month])*ScheduledTransactions[Amount])</f>
        <v>0</v>
      </c>
      <c r="D31" s="27" t="n">
        <f aca="false">SUMPRODUCT((ScheduledTransactions[Type]="Expense")*(DAY(A31)=ScheduledTransactions[Day of Month])*ScheduledTransactions[Amount])</f>
        <v>0</v>
      </c>
      <c r="E31" s="27" t="n">
        <f aca="false">E30+C31-D31</f>
        <v>7350</v>
      </c>
    </row>
    <row r="32" customFormat="false" ht="15" hidden="false" customHeight="false" outlineLevel="0" collapsed="false">
      <c r="A32" s="44" t="n">
        <f aca="false">A31+1</f>
        <v>46124</v>
      </c>
      <c r="B32" s="14" t="str">
        <f aca="false">TEXT(A32,"ddd")</f>
        <v>Sun</v>
      </c>
      <c r="C32" s="27" t="n">
        <f aca="false">SUMPRODUCT((ScheduledTransactions[Type]="Income")*(DAY(A32)=ScheduledTransactions[Day of Month])*ScheduledTransactions[Amount])</f>
        <v>0</v>
      </c>
      <c r="D32" s="27" t="n">
        <f aca="false">SUMPRODUCT((ScheduledTransactions[Type]="Expense")*(DAY(A32)=ScheduledTransactions[Day of Month])*ScheduledTransactions[Amount])</f>
        <v>80</v>
      </c>
      <c r="E32" s="27" t="n">
        <f aca="false">E31+C32-D32</f>
        <v>7270</v>
      </c>
    </row>
    <row r="33" customFormat="false" ht="15" hidden="false" customHeight="false" outlineLevel="0" collapsed="false">
      <c r="A33" s="44" t="n">
        <f aca="false">A32+1</f>
        <v>46125</v>
      </c>
      <c r="B33" s="14" t="str">
        <f aca="false">TEXT(A33,"ddd")</f>
        <v>Mon</v>
      </c>
      <c r="C33" s="27" t="n">
        <f aca="false">SUMPRODUCT((ScheduledTransactions[Type]="Income")*(DAY(A33)=ScheduledTransactions[Day of Month])*ScheduledTransactions[Amount])</f>
        <v>0</v>
      </c>
      <c r="D33" s="27" t="n">
        <f aca="false">SUMPRODUCT((ScheduledTransactions[Type]="Expense")*(DAY(A33)=ScheduledTransactions[Day of Month])*ScheduledTransactions[Amount])</f>
        <v>0</v>
      </c>
      <c r="E33" s="27" t="n">
        <f aca="false">E32+C33-D33</f>
        <v>7270</v>
      </c>
    </row>
    <row r="34" customFormat="false" ht="15" hidden="false" customHeight="false" outlineLevel="0" collapsed="false">
      <c r="A34" s="44" t="n">
        <f aca="false">A33+1</f>
        <v>46126</v>
      </c>
      <c r="B34" s="14" t="str">
        <f aca="false">TEXT(A34,"ddd")</f>
        <v>Tue</v>
      </c>
      <c r="C34" s="27" t="n">
        <f aca="false">SUMPRODUCT((ScheduledTransactions[Type]="Income")*(DAY(A34)=ScheduledTransactions[Day of Month])*ScheduledTransactions[Amount])</f>
        <v>0</v>
      </c>
      <c r="D34" s="27" t="n">
        <f aca="false">SUMPRODUCT((ScheduledTransactions[Type]="Expense")*(DAY(A34)=ScheduledTransactions[Day of Month])*ScheduledTransactions[Amount])</f>
        <v>0</v>
      </c>
      <c r="E34" s="27" t="n">
        <f aca="false">E33+C34-D34</f>
        <v>7270</v>
      </c>
    </row>
    <row r="35" customFormat="false" ht="15" hidden="false" customHeight="false" outlineLevel="0" collapsed="false">
      <c r="A35" s="44" t="n">
        <f aca="false">A34+1</f>
        <v>46127</v>
      </c>
      <c r="B35" s="14" t="str">
        <f aca="false">TEXT(A35,"ddd")</f>
        <v>Wed</v>
      </c>
      <c r="C35" s="27" t="n">
        <f aca="false">SUMPRODUCT((ScheduledTransactions[Type]="Income")*(DAY(A35)=ScheduledTransactions[Day of Month])*ScheduledTransactions[Amount])</f>
        <v>800</v>
      </c>
      <c r="D35" s="27" t="n">
        <f aca="false">SUMPRODUCT((ScheduledTransactions[Type]="Expense")*(DAY(A35)=ScheduledTransactions[Day of Month])*ScheduledTransactions[Amount])</f>
        <v>150</v>
      </c>
      <c r="E35" s="27" t="n">
        <f aca="false">E34+C35-D35</f>
        <v>7920</v>
      </c>
    </row>
    <row r="36" customFormat="false" ht="15" hidden="false" customHeight="false" outlineLevel="0" collapsed="false">
      <c r="A36" s="44" t="n">
        <f aca="false">A35+1</f>
        <v>46128</v>
      </c>
      <c r="B36" s="14" t="str">
        <f aca="false">TEXT(A36,"ddd")</f>
        <v>Thu</v>
      </c>
      <c r="C36" s="27" t="n">
        <f aca="false">SUMPRODUCT((ScheduledTransactions[Type]="Income")*(DAY(A36)=ScheduledTransactions[Day of Month])*ScheduledTransactions[Amount])</f>
        <v>0</v>
      </c>
      <c r="D36" s="27" t="n">
        <f aca="false">SUMPRODUCT((ScheduledTransactions[Type]="Expense")*(DAY(A36)=ScheduledTransactions[Day of Month])*ScheduledTransactions[Amount])</f>
        <v>0</v>
      </c>
      <c r="E36" s="27" t="n">
        <f aca="false">E35+C36-D36</f>
        <v>7920</v>
      </c>
    </row>
    <row r="37" customFormat="false" ht="15" hidden="false" customHeight="false" outlineLevel="0" collapsed="false">
      <c r="A37" s="44" t="n">
        <f aca="false">A36+1</f>
        <v>46129</v>
      </c>
      <c r="B37" s="14" t="str">
        <f aca="false">TEXT(A37,"ddd")</f>
        <v>Fri</v>
      </c>
      <c r="C37" s="27" t="n">
        <f aca="false">SUMPRODUCT((ScheduledTransactions[Type]="Income")*(DAY(A37)=ScheduledTransactions[Day of Month])*ScheduledTransactions[Amount])</f>
        <v>0</v>
      </c>
      <c r="D37" s="27" t="n">
        <f aca="false">SUMPRODUCT((ScheduledTransactions[Type]="Expense")*(DAY(A37)=ScheduledTransactions[Day of Month])*ScheduledTransactions[Amount])</f>
        <v>0</v>
      </c>
      <c r="E37" s="27" t="n">
        <f aca="false">E36+C37-D37</f>
        <v>7920</v>
      </c>
    </row>
    <row r="38" customFormat="false" ht="15" hidden="false" customHeight="false" outlineLevel="0" collapsed="false">
      <c r="A38" s="44" t="n">
        <f aca="false">A37+1</f>
        <v>46130</v>
      </c>
      <c r="B38" s="14" t="str">
        <f aca="false">TEXT(A38,"ddd")</f>
        <v>Sat</v>
      </c>
      <c r="C38" s="27" t="n">
        <f aca="false">SUMPRODUCT((ScheduledTransactions[Type]="Income")*(DAY(A38)=ScheduledTransactions[Day of Month])*ScheduledTransactions[Amount])</f>
        <v>0</v>
      </c>
      <c r="D38" s="27" t="n">
        <f aca="false">SUMPRODUCT((ScheduledTransactions[Type]="Expense")*(DAY(A38)=ScheduledTransactions[Day of Month])*ScheduledTransactions[Amount])</f>
        <v>0</v>
      </c>
      <c r="E38" s="27" t="n">
        <f aca="false">E37+C38-D38</f>
        <v>7920</v>
      </c>
    </row>
    <row r="39" customFormat="false" ht="15" hidden="false" customHeight="false" outlineLevel="0" collapsed="false">
      <c r="A39" s="44" t="n">
        <f aca="false">A38+1</f>
        <v>46131</v>
      </c>
      <c r="B39" s="14" t="str">
        <f aca="false">TEXT(A39,"ddd")</f>
        <v>Sun</v>
      </c>
      <c r="C39" s="27" t="n">
        <f aca="false">SUMPRODUCT((ScheduledTransactions[Type]="Income")*(DAY(A39)=ScheduledTransactions[Day of Month])*ScheduledTransactions[Amount])</f>
        <v>0</v>
      </c>
      <c r="D39" s="27" t="n">
        <f aca="false">SUMPRODUCT((ScheduledTransactions[Type]="Expense")*(DAY(A39)=ScheduledTransactions[Day of Month])*ScheduledTransactions[Amount])</f>
        <v>0</v>
      </c>
      <c r="E39" s="27" t="n">
        <f aca="false">E38+C39-D39</f>
        <v>7920</v>
      </c>
    </row>
    <row r="40" customFormat="false" ht="15" hidden="false" customHeight="false" outlineLevel="0" collapsed="false">
      <c r="A40" s="44" t="n">
        <f aca="false">A39+1</f>
        <v>46132</v>
      </c>
      <c r="B40" s="14" t="str">
        <f aca="false">TEXT(A40,"ddd")</f>
        <v>Mon</v>
      </c>
      <c r="C40" s="27" t="n">
        <f aca="false">SUMPRODUCT((ScheduledTransactions[Type]="Income")*(DAY(A40)=ScheduledTransactions[Day of Month])*ScheduledTransactions[Amount])</f>
        <v>0</v>
      </c>
      <c r="D40" s="27" t="n">
        <f aca="false">SUMPRODUCT((ScheduledTransactions[Type]="Expense")*(DAY(A40)=ScheduledTransactions[Day of Month])*ScheduledTransactions[Amount])</f>
        <v>0</v>
      </c>
      <c r="E40" s="27" t="n">
        <f aca="false">E39+C40-D40</f>
        <v>7920</v>
      </c>
    </row>
    <row r="41" customFormat="false" ht="15" hidden="false" customHeight="false" outlineLevel="0" collapsed="false">
      <c r="A41" s="44" t="n">
        <f aca="false">A40+1</f>
        <v>46133</v>
      </c>
      <c r="B41" s="14" t="str">
        <f aca="false">TEXT(A41,"ddd")</f>
        <v>Tue</v>
      </c>
      <c r="C41" s="27" t="n">
        <f aca="false">SUMPRODUCT((ScheduledTransactions[Type]="Income")*(DAY(A41)=ScheduledTransactions[Day of Month])*ScheduledTransactions[Amount])</f>
        <v>0</v>
      </c>
      <c r="D41" s="27" t="n">
        <f aca="false">SUMPRODUCT((ScheduledTransactions[Type]="Expense")*(DAY(A41)=ScheduledTransactions[Day of Month])*ScheduledTransactions[Amount])</f>
        <v>0</v>
      </c>
      <c r="E41" s="27" t="n">
        <f aca="false">E40+C41-D41</f>
        <v>7920</v>
      </c>
    </row>
    <row r="42" customFormat="false" ht="15" hidden="false" customHeight="false" outlineLevel="0" collapsed="false">
      <c r="A42" s="44" t="n">
        <f aca="false">A41+1</f>
        <v>46134</v>
      </c>
      <c r="B42" s="14" t="str">
        <f aca="false">TEXT(A42,"ddd")</f>
        <v>Wed</v>
      </c>
      <c r="C42" s="27" t="n">
        <f aca="false">SUMPRODUCT((ScheduledTransactions[Type]="Income")*(DAY(A42)=ScheduledTransactions[Day of Month])*ScheduledTransactions[Amount])</f>
        <v>0</v>
      </c>
      <c r="D42" s="27" t="n">
        <f aca="false">SUMPRODUCT((ScheduledTransactions[Type]="Expense")*(DAY(A42)=ScheduledTransactions[Day of Month])*ScheduledTransactions[Amount])</f>
        <v>18</v>
      </c>
      <c r="E42" s="27" t="n">
        <f aca="false">E41+C42-D42</f>
        <v>7902</v>
      </c>
    </row>
    <row r="43" customFormat="false" ht="15" hidden="false" customHeight="false" outlineLevel="0" collapsed="false">
      <c r="A43" s="44" t="n">
        <f aca="false">A42+1</f>
        <v>46135</v>
      </c>
      <c r="B43" s="14" t="str">
        <f aca="false">TEXT(A43,"ddd")</f>
        <v>Thu</v>
      </c>
      <c r="C43" s="27" t="n">
        <f aca="false">SUMPRODUCT((ScheduledTransactions[Type]="Income")*(DAY(A43)=ScheduledTransactions[Day of Month])*ScheduledTransactions[Amount])</f>
        <v>0</v>
      </c>
      <c r="D43" s="27" t="n">
        <f aca="false">SUMPRODUCT((ScheduledTransactions[Type]="Expense")*(DAY(A43)=ScheduledTransactions[Day of Month])*ScheduledTransactions[Amount])</f>
        <v>0</v>
      </c>
      <c r="E43" s="27" t="n">
        <f aca="false">E42+C43-D43</f>
        <v>7902</v>
      </c>
    </row>
    <row r="44" customFormat="false" ht="15" hidden="false" customHeight="false" outlineLevel="0" collapsed="false">
      <c r="A44" s="44" t="n">
        <f aca="false">A43+1</f>
        <v>46136</v>
      </c>
      <c r="B44" s="14" t="str">
        <f aca="false">TEXT(A44,"ddd")</f>
        <v>Fri</v>
      </c>
      <c r="C44" s="27" t="n">
        <f aca="false">SUMPRODUCT((ScheduledTransactions[Type]="Income")*(DAY(A44)=ScheduledTransactions[Day of Month])*ScheduledTransactions[Amount])</f>
        <v>0</v>
      </c>
      <c r="D44" s="27" t="n">
        <f aca="false">SUMPRODUCT((ScheduledTransactions[Type]="Expense")*(DAY(A44)=ScheduledTransactions[Day of Month])*ScheduledTransactions[Amount])</f>
        <v>0</v>
      </c>
      <c r="E44" s="27" t="n">
        <f aca="false">E43+C44-D44</f>
        <v>7902</v>
      </c>
    </row>
    <row r="45" customFormat="false" ht="15" hidden="false" customHeight="false" outlineLevel="0" collapsed="false">
      <c r="A45" s="44" t="n">
        <f aca="false">A44+1</f>
        <v>46137</v>
      </c>
      <c r="B45" s="14" t="str">
        <f aca="false">TEXT(A45,"ddd")</f>
        <v>Sat</v>
      </c>
      <c r="C45" s="27" t="n">
        <f aca="false">SUMPRODUCT((ScheduledTransactions[Type]="Income")*(DAY(A45)=ScheduledTransactions[Day of Month])*ScheduledTransactions[Amount])</f>
        <v>0</v>
      </c>
      <c r="D45" s="27" t="n">
        <f aca="false">SUMPRODUCT((ScheduledTransactions[Type]="Expense")*(DAY(A45)=ScheduledTransactions[Day of Month])*ScheduledTransactions[Amount])</f>
        <v>0</v>
      </c>
      <c r="E45" s="27" t="n">
        <f aca="false">E44+C45-D45</f>
        <v>7902</v>
      </c>
    </row>
    <row r="46" customFormat="false" ht="15" hidden="false" customHeight="false" outlineLevel="0" collapsed="false">
      <c r="A46" s="44" t="n">
        <f aca="false">A45+1</f>
        <v>46138</v>
      </c>
      <c r="B46" s="14" t="str">
        <f aca="false">TEXT(A46,"ddd")</f>
        <v>Sun</v>
      </c>
      <c r="C46" s="27" t="n">
        <f aca="false">SUMPRODUCT((ScheduledTransactions[Type]="Income")*(DAY(A46)=ScheduledTransactions[Day of Month])*ScheduledTransactions[Amount])</f>
        <v>0</v>
      </c>
      <c r="D46" s="27" t="n">
        <f aca="false">SUMPRODUCT((ScheduledTransactions[Type]="Expense")*(DAY(A46)=ScheduledTransactions[Day of Month])*ScheduledTransactions[Amount])</f>
        <v>0</v>
      </c>
      <c r="E46" s="27" t="n">
        <f aca="false">E45+C46-D46</f>
        <v>7902</v>
      </c>
    </row>
    <row r="47" customFormat="false" ht="15" hidden="false" customHeight="false" outlineLevel="0" collapsed="false">
      <c r="A47" s="44" t="n">
        <f aca="false">A46+1</f>
        <v>46139</v>
      </c>
      <c r="B47" s="14" t="str">
        <f aca="false">TEXT(A47,"ddd")</f>
        <v>Mon</v>
      </c>
      <c r="C47" s="27" t="n">
        <f aca="false">SUMPRODUCT((ScheduledTransactions[Type]="Income")*(DAY(A47)=ScheduledTransactions[Day of Month])*ScheduledTransactions[Amount])</f>
        <v>0</v>
      </c>
      <c r="D47" s="27" t="n">
        <f aca="false">SUMPRODUCT((ScheduledTransactions[Type]="Expense")*(DAY(A47)=ScheduledTransactions[Day of Month])*ScheduledTransactions[Amount])</f>
        <v>0</v>
      </c>
      <c r="E47" s="27" t="n">
        <f aca="false">E46+C47-D47</f>
        <v>7902</v>
      </c>
    </row>
    <row r="48" customFormat="false" ht="15" hidden="false" customHeight="false" outlineLevel="0" collapsed="false">
      <c r="A48" s="44" t="n">
        <f aca="false">A47+1</f>
        <v>46140</v>
      </c>
      <c r="B48" s="14" t="str">
        <f aca="false">TEXT(A48,"ddd")</f>
        <v>Tue</v>
      </c>
      <c r="C48" s="27" t="n">
        <f aca="false">SUMPRODUCT((ScheduledTransactions[Type]="Income")*(DAY(A48)=ScheduledTransactions[Day of Month])*ScheduledTransactions[Amount])</f>
        <v>0</v>
      </c>
      <c r="D48" s="27" t="n">
        <f aca="false">SUMPRODUCT((ScheduledTransactions[Type]="Expense")*(DAY(A48)=ScheduledTransactions[Day of Month])*ScheduledTransactions[Amount])</f>
        <v>0</v>
      </c>
      <c r="E48" s="27" t="n">
        <f aca="false">E47+C48-D48</f>
        <v>7902</v>
      </c>
    </row>
    <row r="49" customFormat="false" ht="15" hidden="false" customHeight="false" outlineLevel="0" collapsed="false">
      <c r="A49" s="44" t="n">
        <f aca="false">A48+1</f>
        <v>46141</v>
      </c>
      <c r="B49" s="14" t="str">
        <f aca="false">TEXT(A49,"ddd")</f>
        <v>Wed</v>
      </c>
      <c r="C49" s="27" t="n">
        <f aca="false">SUMPRODUCT((ScheduledTransactions[Type]="Income")*(DAY(A49)=ScheduledTransactions[Day of Month])*ScheduledTransactions[Amount])</f>
        <v>0</v>
      </c>
      <c r="D49" s="27" t="n">
        <f aca="false">SUMPRODUCT((ScheduledTransactions[Type]="Expense")*(DAY(A49)=ScheduledTransactions[Day of Month])*ScheduledTransactions[Amount])</f>
        <v>0</v>
      </c>
      <c r="E49" s="27" t="n">
        <f aca="false">E48+C49-D49</f>
        <v>7902</v>
      </c>
    </row>
    <row r="50" customFormat="false" ht="15" hidden="false" customHeight="false" outlineLevel="0" collapsed="false">
      <c r="A50" s="44" t="n">
        <f aca="false">A49+1</f>
        <v>46142</v>
      </c>
      <c r="B50" s="14" t="str">
        <f aca="false">TEXT(A50,"ddd")</f>
        <v>Thu</v>
      </c>
      <c r="C50" s="27" t="n">
        <f aca="false">SUMPRODUCT((ScheduledTransactions[Type]="Income")*(DAY(A50)=ScheduledTransactions[Day of Month])*ScheduledTransactions[Amount])</f>
        <v>0</v>
      </c>
      <c r="D50" s="27" t="n">
        <f aca="false">SUMPRODUCT((ScheduledTransactions[Type]="Expense")*(DAY(A50)=ScheduledTransactions[Day of Month])*ScheduledTransactions[Amount])</f>
        <v>0</v>
      </c>
      <c r="E50" s="27" t="n">
        <f aca="false">E49+C50-D50</f>
        <v>7902</v>
      </c>
    </row>
    <row r="51" customFormat="false" ht="15" hidden="false" customHeight="false" outlineLevel="0" collapsed="false">
      <c r="A51" s="44" t="n">
        <f aca="false">A50+1</f>
        <v>46143</v>
      </c>
      <c r="B51" s="14" t="str">
        <f aca="false">TEXT(A51,"ddd")</f>
        <v>Fri</v>
      </c>
      <c r="C51" s="27" t="n">
        <f aca="false">SUMPRODUCT((ScheduledTransactions[Type]="Income")*(DAY(A51)=ScheduledTransactions[Day of Month])*ScheduledTransactions[Amount])</f>
        <v>5000</v>
      </c>
      <c r="D51" s="27" t="n">
        <f aca="false">SUMPRODUCT((ScheduledTransactions[Type]="Expense")*(DAY(A51)=ScheduledTransactions[Day of Month])*ScheduledTransactions[Amount])</f>
        <v>2000</v>
      </c>
      <c r="E51" s="27" t="n">
        <f aca="false">E50+C51-D51</f>
        <v>10902</v>
      </c>
    </row>
    <row r="52" customFormat="false" ht="15" hidden="false" customHeight="false" outlineLevel="0" collapsed="false">
      <c r="A52" s="44" t="n">
        <f aca="false">A51+1</f>
        <v>46144</v>
      </c>
      <c r="B52" s="14" t="str">
        <f aca="false">TEXT(A52,"ddd")</f>
        <v>Sat</v>
      </c>
      <c r="C52" s="27" t="n">
        <f aca="false">SUMPRODUCT((ScheduledTransactions[Type]="Income")*(DAY(A52)=ScheduledTransactions[Day of Month])*ScheduledTransactions[Amount])</f>
        <v>0</v>
      </c>
      <c r="D52" s="27" t="n">
        <f aca="false">SUMPRODUCT((ScheduledTransactions[Type]="Expense")*(DAY(A52)=ScheduledTransactions[Day of Month])*ScheduledTransactions[Amount])</f>
        <v>0</v>
      </c>
      <c r="E52" s="27" t="n">
        <f aca="false">E51+C52-D52</f>
        <v>10902</v>
      </c>
    </row>
    <row r="53" customFormat="false" ht="15" hidden="false" customHeight="false" outlineLevel="0" collapsed="false">
      <c r="A53" s="44" t="n">
        <f aca="false">A52+1</f>
        <v>46145</v>
      </c>
      <c r="B53" s="14" t="str">
        <f aca="false">TEXT(A53,"ddd")</f>
        <v>Sun</v>
      </c>
      <c r="C53" s="27" t="n">
        <f aca="false">SUMPRODUCT((ScheduledTransactions[Type]="Income")*(DAY(A53)=ScheduledTransactions[Day of Month])*ScheduledTransactions[Amount])</f>
        <v>0</v>
      </c>
      <c r="D53" s="27" t="n">
        <f aca="false">SUMPRODUCT((ScheduledTransactions[Type]="Expense")*(DAY(A53)=ScheduledTransactions[Day of Month])*ScheduledTransactions[Amount])</f>
        <v>0</v>
      </c>
      <c r="E53" s="27" t="n">
        <f aca="false">E52+C53-D53</f>
        <v>10902</v>
      </c>
    </row>
    <row r="54" customFormat="false" ht="15" hidden="false" customHeight="false" outlineLevel="0" collapsed="false">
      <c r="A54" s="44" t="n">
        <f aca="false">A53+1</f>
        <v>46146</v>
      </c>
      <c r="B54" s="14" t="str">
        <f aca="false">TEXT(A54,"ddd")</f>
        <v>Mon</v>
      </c>
      <c r="C54" s="27" t="n">
        <f aca="false">SUMPRODUCT((ScheduledTransactions[Type]="Income")*(DAY(A54)=ScheduledTransactions[Day of Month])*ScheduledTransactions[Amount])</f>
        <v>0</v>
      </c>
      <c r="D54" s="27" t="n">
        <f aca="false">SUMPRODUCT((ScheduledTransactions[Type]="Expense")*(DAY(A54)=ScheduledTransactions[Day of Month])*ScheduledTransactions[Amount])</f>
        <v>0</v>
      </c>
      <c r="E54" s="27" t="n">
        <f aca="false">E53+C54-D54</f>
        <v>10902</v>
      </c>
    </row>
    <row r="55" customFormat="false" ht="15" hidden="false" customHeight="false" outlineLevel="0" collapsed="false">
      <c r="A55" s="44" t="n">
        <f aca="false">A54+1</f>
        <v>46147</v>
      </c>
      <c r="B55" s="14" t="str">
        <f aca="false">TEXT(A55,"ddd")</f>
        <v>Tue</v>
      </c>
      <c r="C55" s="27" t="n">
        <f aca="false">SUMPRODUCT((ScheduledTransactions[Type]="Income")*(DAY(A55)=ScheduledTransactions[Day of Month])*ScheduledTransactions[Amount])</f>
        <v>0</v>
      </c>
      <c r="D55" s="27" t="n">
        <f aca="false">SUMPRODUCT((ScheduledTransactions[Type]="Expense")*(DAY(A55)=ScheduledTransactions[Day of Month])*ScheduledTransactions[Amount])</f>
        <v>500</v>
      </c>
      <c r="E55" s="27" t="n">
        <f aca="false">E54+C55-D55</f>
        <v>10402</v>
      </c>
    </row>
    <row r="56" customFormat="false" ht="15" hidden="false" customHeight="false" outlineLevel="0" collapsed="false">
      <c r="A56" s="44" t="n">
        <f aca="false">A55+1</f>
        <v>46148</v>
      </c>
      <c r="B56" s="14" t="str">
        <f aca="false">TEXT(A56,"ddd")</f>
        <v>Wed</v>
      </c>
      <c r="C56" s="27" t="n">
        <f aca="false">SUMPRODUCT((ScheduledTransactions[Type]="Income")*(DAY(A56)=ScheduledTransactions[Day of Month])*ScheduledTransactions[Amount])</f>
        <v>0</v>
      </c>
      <c r="D56" s="27" t="n">
        <f aca="false">SUMPRODUCT((ScheduledTransactions[Type]="Expense")*(DAY(A56)=ScheduledTransactions[Day of Month])*ScheduledTransactions[Amount])</f>
        <v>0</v>
      </c>
      <c r="E56" s="27" t="n">
        <f aca="false">E55+C56-D56</f>
        <v>10402</v>
      </c>
    </row>
    <row r="57" customFormat="false" ht="15" hidden="false" customHeight="false" outlineLevel="0" collapsed="false">
      <c r="A57" s="44" t="n">
        <f aca="false">A56+1</f>
        <v>46149</v>
      </c>
      <c r="B57" s="14" t="str">
        <f aca="false">TEXT(A57,"ddd")</f>
        <v>Thu</v>
      </c>
      <c r="C57" s="27" t="n">
        <f aca="false">SUMPRODUCT((ScheduledTransactions[Type]="Income")*(DAY(A57)=ScheduledTransactions[Day of Month])*ScheduledTransactions[Amount])</f>
        <v>0</v>
      </c>
      <c r="D57" s="27" t="n">
        <f aca="false">SUMPRODUCT((ScheduledTransactions[Type]="Expense")*(DAY(A57)=ScheduledTransactions[Day of Month])*ScheduledTransactions[Amount])</f>
        <v>0</v>
      </c>
      <c r="E57" s="27" t="n">
        <f aca="false">E56+C57-D57</f>
        <v>10402</v>
      </c>
    </row>
    <row r="58" customFormat="false" ht="15" hidden="false" customHeight="false" outlineLevel="0" collapsed="false">
      <c r="A58" s="44" t="n">
        <f aca="false">A57+1</f>
        <v>46150</v>
      </c>
      <c r="B58" s="14" t="str">
        <f aca="false">TEXT(A58,"ddd")</f>
        <v>Fri</v>
      </c>
      <c r="C58" s="27" t="n">
        <f aca="false">SUMPRODUCT((ScheduledTransactions[Type]="Income")*(DAY(A58)=ScheduledTransactions[Day of Month])*ScheduledTransactions[Amount])</f>
        <v>0</v>
      </c>
      <c r="D58" s="27" t="n">
        <f aca="false">SUMPRODUCT((ScheduledTransactions[Type]="Expense")*(DAY(A58)=ScheduledTransactions[Day of Month])*ScheduledTransactions[Amount])</f>
        <v>0</v>
      </c>
      <c r="E58" s="27" t="n">
        <f aca="false">E57+C58-D58</f>
        <v>10402</v>
      </c>
    </row>
    <row r="59" customFormat="false" ht="15" hidden="false" customHeight="false" outlineLevel="0" collapsed="false">
      <c r="A59" s="44" t="n">
        <f aca="false">A58+1</f>
        <v>46151</v>
      </c>
      <c r="B59" s="14" t="str">
        <f aca="false">TEXT(A59,"ddd")</f>
        <v>Sat</v>
      </c>
      <c r="C59" s="27" t="n">
        <f aca="false">SUMPRODUCT((ScheduledTransactions[Type]="Income")*(DAY(A59)=ScheduledTransactions[Day of Month])*ScheduledTransactions[Amount])</f>
        <v>0</v>
      </c>
      <c r="D59" s="27" t="n">
        <f aca="false">SUMPRODUCT((ScheduledTransactions[Type]="Expense")*(DAY(A59)=ScheduledTransactions[Day of Month])*ScheduledTransactions[Amount])</f>
        <v>0</v>
      </c>
      <c r="E59" s="27" t="n">
        <f aca="false">E58+C59-D59</f>
        <v>10402</v>
      </c>
    </row>
    <row r="60" customFormat="false" ht="15" hidden="false" customHeight="false" outlineLevel="0" collapsed="false">
      <c r="A60" s="44" t="n">
        <f aca="false">A59+1</f>
        <v>46152</v>
      </c>
      <c r="B60" s="14" t="str">
        <f aca="false">TEXT(A60,"ddd")</f>
        <v>Sun</v>
      </c>
      <c r="C60" s="27" t="n">
        <f aca="false">SUMPRODUCT((ScheduledTransactions[Type]="Income")*(DAY(A60)=ScheduledTransactions[Day of Month])*ScheduledTransactions[Amount])</f>
        <v>0</v>
      </c>
      <c r="D60" s="27" t="n">
        <f aca="false">SUMPRODUCT((ScheduledTransactions[Type]="Expense")*(DAY(A60)=ScheduledTransactions[Day of Month])*ScheduledTransactions[Amount])</f>
        <v>150</v>
      </c>
      <c r="E60" s="27" t="n">
        <f aca="false">E59+C60-D60</f>
        <v>10252</v>
      </c>
    </row>
    <row r="61" customFormat="false" ht="15" hidden="false" customHeight="false" outlineLevel="0" collapsed="false">
      <c r="A61" s="44" t="n">
        <f aca="false">A60+1</f>
        <v>46153</v>
      </c>
      <c r="B61" s="14" t="str">
        <f aca="false">TEXT(A61,"ddd")</f>
        <v>Mon</v>
      </c>
      <c r="C61" s="27" t="n">
        <f aca="false">SUMPRODUCT((ScheduledTransactions[Type]="Income")*(DAY(A61)=ScheduledTransactions[Day of Month])*ScheduledTransactions[Amount])</f>
        <v>0</v>
      </c>
      <c r="D61" s="27" t="n">
        <f aca="false">SUMPRODUCT((ScheduledTransactions[Type]="Expense")*(DAY(A61)=ScheduledTransactions[Day of Month])*ScheduledTransactions[Amount])</f>
        <v>0</v>
      </c>
      <c r="E61" s="27" t="n">
        <f aca="false">E60+C61-D61</f>
        <v>10252</v>
      </c>
    </row>
    <row r="62" customFormat="false" ht="15" hidden="false" customHeight="false" outlineLevel="0" collapsed="false">
      <c r="A62" s="44" t="n">
        <f aca="false">A61+1</f>
        <v>46154</v>
      </c>
      <c r="B62" s="14" t="str">
        <f aca="false">TEXT(A62,"ddd")</f>
        <v>Tue</v>
      </c>
      <c r="C62" s="27" t="n">
        <f aca="false">SUMPRODUCT((ScheduledTransactions[Type]="Income")*(DAY(A62)=ScheduledTransactions[Day of Month])*ScheduledTransactions[Amount])</f>
        <v>0</v>
      </c>
      <c r="D62" s="27" t="n">
        <f aca="false">SUMPRODUCT((ScheduledTransactions[Type]="Expense")*(DAY(A62)=ScheduledTransactions[Day of Month])*ScheduledTransactions[Amount])</f>
        <v>80</v>
      </c>
      <c r="E62" s="27" t="n">
        <f aca="false">E61+C62-D62</f>
        <v>10172</v>
      </c>
    </row>
    <row r="63" customFormat="false" ht="15" hidden="false" customHeight="false" outlineLevel="0" collapsed="false">
      <c r="A63" s="44" t="n">
        <f aca="false">A62+1</f>
        <v>46155</v>
      </c>
      <c r="B63" s="14" t="str">
        <f aca="false">TEXT(A63,"ddd")</f>
        <v>Wed</v>
      </c>
      <c r="C63" s="27" t="n">
        <f aca="false">SUMPRODUCT((ScheduledTransactions[Type]="Income")*(DAY(A63)=ScheduledTransactions[Day of Month])*ScheduledTransactions[Amount])</f>
        <v>0</v>
      </c>
      <c r="D63" s="27" t="n">
        <f aca="false">SUMPRODUCT((ScheduledTransactions[Type]="Expense")*(DAY(A63)=ScheduledTransactions[Day of Month])*ScheduledTransactions[Amount])</f>
        <v>0</v>
      </c>
      <c r="E63" s="27" t="n">
        <f aca="false">E62+C63-D63</f>
        <v>10172</v>
      </c>
    </row>
    <row r="64" customFormat="false" ht="15" hidden="false" customHeight="false" outlineLevel="0" collapsed="false">
      <c r="A64" s="44" t="n">
        <f aca="false">A63+1</f>
        <v>46156</v>
      </c>
      <c r="B64" s="14" t="str">
        <f aca="false">TEXT(A64,"ddd")</f>
        <v>Thu</v>
      </c>
      <c r="C64" s="27" t="n">
        <f aca="false">SUMPRODUCT((ScheduledTransactions[Type]="Income")*(DAY(A64)=ScheduledTransactions[Day of Month])*ScheduledTransactions[Amount])</f>
        <v>0</v>
      </c>
      <c r="D64" s="27" t="n">
        <f aca="false">SUMPRODUCT((ScheduledTransactions[Type]="Expense")*(DAY(A64)=ScheduledTransactions[Day of Month])*ScheduledTransactions[Amount])</f>
        <v>0</v>
      </c>
      <c r="E64" s="27" t="n">
        <f aca="false">E63+C64-D64</f>
        <v>10172</v>
      </c>
    </row>
    <row r="65" customFormat="false" ht="15" hidden="false" customHeight="false" outlineLevel="0" collapsed="false">
      <c r="A65" s="44" t="n">
        <f aca="false">A64+1</f>
        <v>46157</v>
      </c>
      <c r="B65" s="14" t="str">
        <f aca="false">TEXT(A65,"ddd")</f>
        <v>Fri</v>
      </c>
      <c r="C65" s="27" t="n">
        <f aca="false">SUMPRODUCT((ScheduledTransactions[Type]="Income")*(DAY(A65)=ScheduledTransactions[Day of Month])*ScheduledTransactions[Amount])</f>
        <v>800</v>
      </c>
      <c r="D65" s="27" t="n">
        <f aca="false">SUMPRODUCT((ScheduledTransactions[Type]="Expense")*(DAY(A65)=ScheduledTransactions[Day of Month])*ScheduledTransactions[Amount])</f>
        <v>150</v>
      </c>
      <c r="E65" s="27" t="n">
        <f aca="false">E64+C65-D65</f>
        <v>10822</v>
      </c>
    </row>
    <row r="66" customFormat="false" ht="15" hidden="false" customHeight="false" outlineLevel="0" collapsed="false">
      <c r="A66" s="44" t="n">
        <f aca="false">A65+1</f>
        <v>46158</v>
      </c>
      <c r="B66" s="14" t="str">
        <f aca="false">TEXT(A66,"ddd")</f>
        <v>Sat</v>
      </c>
      <c r="C66" s="27" t="n">
        <f aca="false">SUMPRODUCT((ScheduledTransactions[Type]="Income")*(DAY(A66)=ScheduledTransactions[Day of Month])*ScheduledTransactions[Amount])</f>
        <v>0</v>
      </c>
      <c r="D66" s="27" t="n">
        <f aca="false">SUMPRODUCT((ScheduledTransactions[Type]="Expense")*(DAY(A66)=ScheduledTransactions[Day of Month])*ScheduledTransactions[Amount])</f>
        <v>0</v>
      </c>
      <c r="E66" s="27" t="n">
        <f aca="false">E65+C66-D66</f>
        <v>10822</v>
      </c>
    </row>
    <row r="67" customFormat="false" ht="15" hidden="false" customHeight="false" outlineLevel="0" collapsed="false">
      <c r="A67" s="44" t="n">
        <f aca="false">A66+1</f>
        <v>46159</v>
      </c>
      <c r="B67" s="14" t="str">
        <f aca="false">TEXT(A67,"ddd")</f>
        <v>Sun</v>
      </c>
      <c r="C67" s="27" t="n">
        <f aca="false">SUMPRODUCT((ScheduledTransactions[Type]="Income")*(DAY(A67)=ScheduledTransactions[Day of Month])*ScheduledTransactions[Amount])</f>
        <v>0</v>
      </c>
      <c r="D67" s="27" t="n">
        <f aca="false">SUMPRODUCT((ScheduledTransactions[Type]="Expense")*(DAY(A67)=ScheduledTransactions[Day of Month])*ScheduledTransactions[Amount])</f>
        <v>0</v>
      </c>
      <c r="E67" s="27" t="n">
        <f aca="false">E66+C67-D67</f>
        <v>10822</v>
      </c>
    </row>
    <row r="68" customFormat="false" ht="15" hidden="false" customHeight="false" outlineLevel="0" collapsed="false">
      <c r="A68" s="44" t="n">
        <f aca="false">A67+1</f>
        <v>46160</v>
      </c>
      <c r="B68" s="14" t="str">
        <f aca="false">TEXT(A68,"ddd")</f>
        <v>Mon</v>
      </c>
      <c r="C68" s="27" t="n">
        <f aca="false">SUMPRODUCT((ScheduledTransactions[Type]="Income")*(DAY(A68)=ScheduledTransactions[Day of Month])*ScheduledTransactions[Amount])</f>
        <v>0</v>
      </c>
      <c r="D68" s="27" t="n">
        <f aca="false">SUMPRODUCT((ScheduledTransactions[Type]="Expense")*(DAY(A68)=ScheduledTransactions[Day of Month])*ScheduledTransactions[Amount])</f>
        <v>0</v>
      </c>
      <c r="E68" s="27" t="n">
        <f aca="false">E67+C68-D68</f>
        <v>10822</v>
      </c>
    </row>
    <row r="69" customFormat="false" ht="15" hidden="false" customHeight="false" outlineLevel="0" collapsed="false">
      <c r="A69" s="44" t="n">
        <f aca="false">A68+1</f>
        <v>46161</v>
      </c>
      <c r="B69" s="14" t="str">
        <f aca="false">TEXT(A69,"ddd")</f>
        <v>Tue</v>
      </c>
      <c r="C69" s="27" t="n">
        <f aca="false">SUMPRODUCT((ScheduledTransactions[Type]="Income")*(DAY(A69)=ScheduledTransactions[Day of Month])*ScheduledTransactions[Amount])</f>
        <v>0</v>
      </c>
      <c r="D69" s="27" t="n">
        <f aca="false">SUMPRODUCT((ScheduledTransactions[Type]="Expense")*(DAY(A69)=ScheduledTransactions[Day of Month])*ScheduledTransactions[Amount])</f>
        <v>0</v>
      </c>
      <c r="E69" s="27" t="n">
        <f aca="false">E68+C69-D69</f>
        <v>10822</v>
      </c>
    </row>
    <row r="70" customFormat="false" ht="15" hidden="false" customHeight="false" outlineLevel="0" collapsed="false">
      <c r="A70" s="44" t="n">
        <f aca="false">A69+1</f>
        <v>46162</v>
      </c>
      <c r="B70" s="14" t="str">
        <f aca="false">TEXT(A70,"ddd")</f>
        <v>Wed</v>
      </c>
      <c r="C70" s="27" t="n">
        <f aca="false">SUMPRODUCT((ScheduledTransactions[Type]="Income")*(DAY(A70)=ScheduledTransactions[Day of Month])*ScheduledTransactions[Amount])</f>
        <v>0</v>
      </c>
      <c r="D70" s="27" t="n">
        <f aca="false">SUMPRODUCT((ScheduledTransactions[Type]="Expense")*(DAY(A70)=ScheduledTransactions[Day of Month])*ScheduledTransactions[Amount])</f>
        <v>0</v>
      </c>
      <c r="E70" s="27" t="n">
        <f aca="false">E69+C70-D70</f>
        <v>10822</v>
      </c>
    </row>
    <row r="71" customFormat="false" ht="15" hidden="false" customHeight="false" outlineLevel="0" collapsed="false">
      <c r="A71" s="44" t="n">
        <f aca="false">A70+1</f>
        <v>46163</v>
      </c>
      <c r="B71" s="14" t="str">
        <f aca="false">TEXT(A71,"ddd")</f>
        <v>Thu</v>
      </c>
      <c r="C71" s="27" t="n">
        <f aca="false">SUMPRODUCT((ScheduledTransactions[Type]="Income")*(DAY(A71)=ScheduledTransactions[Day of Month])*ScheduledTransactions[Amount])</f>
        <v>0</v>
      </c>
      <c r="D71" s="27" t="n">
        <f aca="false">SUMPRODUCT((ScheduledTransactions[Type]="Expense")*(DAY(A71)=ScheduledTransactions[Day of Month])*ScheduledTransactions[Amount])</f>
        <v>0</v>
      </c>
      <c r="E71" s="27" t="n">
        <f aca="false">E70+C71-D71</f>
        <v>10822</v>
      </c>
    </row>
    <row r="72" customFormat="false" ht="15" hidden="false" customHeight="false" outlineLevel="0" collapsed="false">
      <c r="A72" s="44" t="n">
        <f aca="false">A71+1</f>
        <v>46164</v>
      </c>
      <c r="B72" s="14" t="str">
        <f aca="false">TEXT(A72,"ddd")</f>
        <v>Fri</v>
      </c>
      <c r="C72" s="27" t="n">
        <f aca="false">SUMPRODUCT((ScheduledTransactions[Type]="Income")*(DAY(A72)=ScheduledTransactions[Day of Month])*ScheduledTransactions[Amount])</f>
        <v>0</v>
      </c>
      <c r="D72" s="27" t="n">
        <f aca="false">SUMPRODUCT((ScheduledTransactions[Type]="Expense")*(DAY(A72)=ScheduledTransactions[Day of Month])*ScheduledTransactions[Amount])</f>
        <v>18</v>
      </c>
      <c r="E72" s="27" t="n">
        <f aca="false">E71+C72-D72</f>
        <v>10804</v>
      </c>
    </row>
    <row r="73" customFormat="false" ht="15" hidden="false" customHeight="false" outlineLevel="0" collapsed="false">
      <c r="A73" s="44" t="n">
        <f aca="false">A72+1</f>
        <v>46165</v>
      </c>
      <c r="B73" s="14" t="str">
        <f aca="false">TEXT(A73,"ddd")</f>
        <v>Sat</v>
      </c>
      <c r="C73" s="27" t="n">
        <f aca="false">SUMPRODUCT((ScheduledTransactions[Type]="Income")*(DAY(A73)=ScheduledTransactions[Day of Month])*ScheduledTransactions[Amount])</f>
        <v>0</v>
      </c>
      <c r="D73" s="27" t="n">
        <f aca="false">SUMPRODUCT((ScheduledTransactions[Type]="Expense")*(DAY(A73)=ScheduledTransactions[Day of Month])*ScheduledTransactions[Amount])</f>
        <v>0</v>
      </c>
      <c r="E73" s="27" t="n">
        <f aca="false">E72+C73-D73</f>
        <v>10804</v>
      </c>
    </row>
    <row r="74" customFormat="false" ht="15" hidden="false" customHeight="false" outlineLevel="0" collapsed="false">
      <c r="A74" s="44" t="n">
        <f aca="false">A73+1</f>
        <v>46166</v>
      </c>
      <c r="B74" s="14" t="str">
        <f aca="false">TEXT(A74,"ddd")</f>
        <v>Sun</v>
      </c>
      <c r="C74" s="27" t="n">
        <f aca="false">SUMPRODUCT((ScheduledTransactions[Type]="Income")*(DAY(A74)=ScheduledTransactions[Day of Month])*ScheduledTransactions[Amount])</f>
        <v>0</v>
      </c>
      <c r="D74" s="27" t="n">
        <f aca="false">SUMPRODUCT((ScheduledTransactions[Type]="Expense")*(DAY(A74)=ScheduledTransactions[Day of Month])*ScheduledTransactions[Amount])</f>
        <v>0</v>
      </c>
      <c r="E74" s="27" t="n">
        <f aca="false">E73+C74-D74</f>
        <v>10804</v>
      </c>
    </row>
    <row r="75" customFormat="false" ht="15" hidden="false" customHeight="false" outlineLevel="0" collapsed="false">
      <c r="A75" s="44" t="n">
        <f aca="false">A74+1</f>
        <v>46167</v>
      </c>
      <c r="B75" s="14" t="str">
        <f aca="false">TEXT(A75,"ddd")</f>
        <v>Mon</v>
      </c>
      <c r="C75" s="27" t="n">
        <f aca="false">SUMPRODUCT((ScheduledTransactions[Type]="Income")*(DAY(A75)=ScheduledTransactions[Day of Month])*ScheduledTransactions[Amount])</f>
        <v>0</v>
      </c>
      <c r="D75" s="27" t="n">
        <f aca="false">SUMPRODUCT((ScheduledTransactions[Type]="Expense")*(DAY(A75)=ScheduledTransactions[Day of Month])*ScheduledTransactions[Amount])</f>
        <v>0</v>
      </c>
      <c r="E75" s="27" t="n">
        <f aca="false">E74+C75-D75</f>
        <v>10804</v>
      </c>
    </row>
    <row r="76" customFormat="false" ht="15" hidden="false" customHeight="false" outlineLevel="0" collapsed="false">
      <c r="A76" s="44" t="n">
        <f aca="false">A75+1</f>
        <v>46168</v>
      </c>
      <c r="B76" s="14" t="str">
        <f aca="false">TEXT(A76,"ddd")</f>
        <v>Tue</v>
      </c>
      <c r="C76" s="27" t="n">
        <f aca="false">SUMPRODUCT((ScheduledTransactions[Type]="Income")*(DAY(A76)=ScheduledTransactions[Day of Month])*ScheduledTransactions[Amount])</f>
        <v>0</v>
      </c>
      <c r="D76" s="27" t="n">
        <f aca="false">SUMPRODUCT((ScheduledTransactions[Type]="Expense")*(DAY(A76)=ScheduledTransactions[Day of Month])*ScheduledTransactions[Amount])</f>
        <v>0</v>
      </c>
      <c r="E76" s="27" t="n">
        <f aca="false">E75+C76-D76</f>
        <v>10804</v>
      </c>
    </row>
    <row r="77" customFormat="false" ht="15" hidden="false" customHeight="false" outlineLevel="0" collapsed="false">
      <c r="A77" s="44" t="n">
        <f aca="false">A76+1</f>
        <v>46169</v>
      </c>
      <c r="B77" s="14" t="str">
        <f aca="false">TEXT(A77,"ddd")</f>
        <v>Wed</v>
      </c>
      <c r="C77" s="27" t="n">
        <f aca="false">SUMPRODUCT((ScheduledTransactions[Type]="Income")*(DAY(A77)=ScheduledTransactions[Day of Month])*ScheduledTransactions[Amount])</f>
        <v>0</v>
      </c>
      <c r="D77" s="27" t="n">
        <f aca="false">SUMPRODUCT((ScheduledTransactions[Type]="Expense")*(DAY(A77)=ScheduledTransactions[Day of Month])*ScheduledTransactions[Amount])</f>
        <v>0</v>
      </c>
      <c r="E77" s="27" t="n">
        <f aca="false">E76+C77-D77</f>
        <v>10804</v>
      </c>
    </row>
    <row r="78" customFormat="false" ht="15" hidden="false" customHeight="false" outlineLevel="0" collapsed="false">
      <c r="A78" s="44" t="n">
        <f aca="false">A77+1</f>
        <v>46170</v>
      </c>
      <c r="B78" s="14" t="str">
        <f aca="false">TEXT(A78,"ddd")</f>
        <v>Thu</v>
      </c>
      <c r="C78" s="27" t="n">
        <f aca="false">SUMPRODUCT((ScheduledTransactions[Type]="Income")*(DAY(A78)=ScheduledTransactions[Day of Month])*ScheduledTransactions[Amount])</f>
        <v>0</v>
      </c>
      <c r="D78" s="27" t="n">
        <f aca="false">SUMPRODUCT((ScheduledTransactions[Type]="Expense")*(DAY(A78)=ScheduledTransactions[Day of Month])*ScheduledTransactions[Amount])</f>
        <v>0</v>
      </c>
      <c r="E78" s="27" t="n">
        <f aca="false">E77+C78-D78</f>
        <v>10804</v>
      </c>
    </row>
    <row r="79" customFormat="false" ht="15" hidden="false" customHeight="false" outlineLevel="0" collapsed="false">
      <c r="A79" s="44" t="n">
        <f aca="false">A78+1</f>
        <v>46171</v>
      </c>
      <c r="B79" s="14" t="str">
        <f aca="false">TEXT(A79,"ddd")</f>
        <v>Fri</v>
      </c>
      <c r="C79" s="27" t="n">
        <f aca="false">SUMPRODUCT((ScheduledTransactions[Type]="Income")*(DAY(A79)=ScheduledTransactions[Day of Month])*ScheduledTransactions[Amount])</f>
        <v>0</v>
      </c>
      <c r="D79" s="27" t="n">
        <f aca="false">SUMPRODUCT((ScheduledTransactions[Type]="Expense")*(DAY(A79)=ScheduledTransactions[Day of Month])*ScheduledTransactions[Amount])</f>
        <v>0</v>
      </c>
      <c r="E79" s="27" t="n">
        <f aca="false">E78+C79-D79</f>
        <v>10804</v>
      </c>
    </row>
    <row r="80" customFormat="false" ht="15" hidden="false" customHeight="false" outlineLevel="0" collapsed="false">
      <c r="A80" s="44" t="n">
        <f aca="false">A79+1</f>
        <v>46172</v>
      </c>
      <c r="B80" s="14" t="str">
        <f aca="false">TEXT(A80,"ddd")</f>
        <v>Sat</v>
      </c>
      <c r="C80" s="27" t="n">
        <f aca="false">SUMPRODUCT((ScheduledTransactions[Type]="Income")*(DAY(A80)=ScheduledTransactions[Day of Month])*ScheduledTransactions[Amount])</f>
        <v>0</v>
      </c>
      <c r="D80" s="27" t="n">
        <f aca="false">SUMPRODUCT((ScheduledTransactions[Type]="Expense")*(DAY(A80)=ScheduledTransactions[Day of Month])*ScheduledTransactions[Amount])</f>
        <v>0</v>
      </c>
      <c r="E80" s="27" t="n">
        <f aca="false">E79+C80-D80</f>
        <v>10804</v>
      </c>
    </row>
    <row r="81" customFormat="false" ht="15" hidden="false" customHeight="false" outlineLevel="0" collapsed="false">
      <c r="A81" s="44" t="n">
        <f aca="false">A80+1</f>
        <v>46173</v>
      </c>
      <c r="B81" s="14" t="str">
        <f aca="false">TEXT(A81,"ddd")</f>
        <v>Sun</v>
      </c>
      <c r="C81" s="27" t="n">
        <f aca="false">SUMPRODUCT((ScheduledTransactions[Type]="Income")*(DAY(A81)=ScheduledTransactions[Day of Month])*ScheduledTransactions[Amount])</f>
        <v>0</v>
      </c>
      <c r="D81" s="27" t="n">
        <f aca="false">SUMPRODUCT((ScheduledTransactions[Type]="Expense")*(DAY(A81)=ScheduledTransactions[Day of Month])*ScheduledTransactions[Amount])</f>
        <v>0</v>
      </c>
      <c r="E81" s="27" t="n">
        <f aca="false">E80+C81-D81</f>
        <v>10804</v>
      </c>
    </row>
    <row r="82" customFormat="false" ht="15" hidden="false" customHeight="false" outlineLevel="0" collapsed="false">
      <c r="A82" s="44" t="n">
        <f aca="false">A81+1</f>
        <v>46174</v>
      </c>
      <c r="B82" s="14" t="str">
        <f aca="false">TEXT(A82,"ddd")</f>
        <v>Mon</v>
      </c>
      <c r="C82" s="27" t="n">
        <f aca="false">SUMPRODUCT((ScheduledTransactions[Type]="Income")*(DAY(A82)=ScheduledTransactions[Day of Month])*ScheduledTransactions[Amount])</f>
        <v>5000</v>
      </c>
      <c r="D82" s="27" t="n">
        <f aca="false">SUMPRODUCT((ScheduledTransactions[Type]="Expense")*(DAY(A82)=ScheduledTransactions[Day of Month])*ScheduledTransactions[Amount])</f>
        <v>2000</v>
      </c>
      <c r="E82" s="27" t="n">
        <f aca="false">E81+C82-D82</f>
        <v>13804</v>
      </c>
    </row>
    <row r="83" customFormat="false" ht="15" hidden="false" customHeight="false" outlineLevel="0" collapsed="false">
      <c r="A83" s="44" t="n">
        <f aca="false">A82+1</f>
        <v>46175</v>
      </c>
      <c r="B83" s="14" t="str">
        <f aca="false">TEXT(A83,"ddd")</f>
        <v>Tue</v>
      </c>
      <c r="C83" s="27" t="n">
        <f aca="false">SUMPRODUCT((ScheduledTransactions[Type]="Income")*(DAY(A83)=ScheduledTransactions[Day of Month])*ScheduledTransactions[Amount])</f>
        <v>0</v>
      </c>
      <c r="D83" s="27" t="n">
        <f aca="false">SUMPRODUCT((ScheduledTransactions[Type]="Expense")*(DAY(A83)=ScheduledTransactions[Day of Month])*ScheduledTransactions[Amount])</f>
        <v>0</v>
      </c>
      <c r="E83" s="27" t="n">
        <f aca="false">E82+C83-D83</f>
        <v>13804</v>
      </c>
    </row>
    <row r="84" customFormat="false" ht="15" hidden="false" customHeight="false" outlineLevel="0" collapsed="false">
      <c r="A84" s="44" t="n">
        <f aca="false">A83+1</f>
        <v>46176</v>
      </c>
      <c r="B84" s="14" t="str">
        <f aca="false">TEXT(A84,"ddd")</f>
        <v>Wed</v>
      </c>
      <c r="C84" s="27" t="n">
        <f aca="false">SUMPRODUCT((ScheduledTransactions[Type]="Income")*(DAY(A84)=ScheduledTransactions[Day of Month])*ScheduledTransactions[Amount])</f>
        <v>0</v>
      </c>
      <c r="D84" s="27" t="n">
        <f aca="false">SUMPRODUCT((ScheduledTransactions[Type]="Expense")*(DAY(A84)=ScheduledTransactions[Day of Month])*ScheduledTransactions[Amount])</f>
        <v>0</v>
      </c>
      <c r="E84" s="27" t="n">
        <f aca="false">E83+C84-D84</f>
        <v>13804</v>
      </c>
    </row>
    <row r="85" customFormat="false" ht="15" hidden="false" customHeight="false" outlineLevel="0" collapsed="false">
      <c r="A85" s="44" t="n">
        <f aca="false">A84+1</f>
        <v>46177</v>
      </c>
      <c r="B85" s="14" t="str">
        <f aca="false">TEXT(A85,"ddd")</f>
        <v>Thu</v>
      </c>
      <c r="C85" s="27" t="n">
        <f aca="false">SUMPRODUCT((ScheduledTransactions[Type]="Income")*(DAY(A85)=ScheduledTransactions[Day of Month])*ScheduledTransactions[Amount])</f>
        <v>0</v>
      </c>
      <c r="D85" s="27" t="n">
        <f aca="false">SUMPRODUCT((ScheduledTransactions[Type]="Expense")*(DAY(A85)=ScheduledTransactions[Day of Month])*ScheduledTransactions[Amount])</f>
        <v>0</v>
      </c>
      <c r="E85" s="27" t="n">
        <f aca="false">E84+C85-D85</f>
        <v>13804</v>
      </c>
    </row>
    <row r="86" customFormat="false" ht="15" hidden="false" customHeight="false" outlineLevel="0" collapsed="false">
      <c r="A86" s="44" t="n">
        <f aca="false">A85+1</f>
        <v>46178</v>
      </c>
      <c r="B86" s="14" t="str">
        <f aca="false">TEXT(A86,"ddd")</f>
        <v>Fri</v>
      </c>
      <c r="C86" s="27" t="n">
        <f aca="false">SUMPRODUCT((ScheduledTransactions[Type]="Income")*(DAY(A86)=ScheduledTransactions[Day of Month])*ScheduledTransactions[Amount])</f>
        <v>0</v>
      </c>
      <c r="D86" s="27" t="n">
        <f aca="false">SUMPRODUCT((ScheduledTransactions[Type]="Expense")*(DAY(A86)=ScheduledTransactions[Day of Month])*ScheduledTransactions[Amount])</f>
        <v>500</v>
      </c>
      <c r="E86" s="27" t="n">
        <f aca="false">E85+C86-D86</f>
        <v>13304</v>
      </c>
    </row>
    <row r="87" customFormat="false" ht="15" hidden="false" customHeight="false" outlineLevel="0" collapsed="false">
      <c r="A87" s="44" t="n">
        <f aca="false">A86+1</f>
        <v>46179</v>
      </c>
      <c r="B87" s="14" t="str">
        <f aca="false">TEXT(A87,"ddd")</f>
        <v>Sat</v>
      </c>
      <c r="C87" s="27" t="n">
        <f aca="false">SUMPRODUCT((ScheduledTransactions[Type]="Income")*(DAY(A87)=ScheduledTransactions[Day of Month])*ScheduledTransactions[Amount])</f>
        <v>0</v>
      </c>
      <c r="D87" s="27" t="n">
        <f aca="false">SUMPRODUCT((ScheduledTransactions[Type]="Expense")*(DAY(A87)=ScheduledTransactions[Day of Month])*ScheduledTransactions[Amount])</f>
        <v>0</v>
      </c>
      <c r="E87" s="27" t="n">
        <f aca="false">E86+C87-D87</f>
        <v>13304</v>
      </c>
    </row>
    <row r="88" customFormat="false" ht="15" hidden="false" customHeight="false" outlineLevel="0" collapsed="false">
      <c r="A88" s="44" t="n">
        <f aca="false">A87+1</f>
        <v>46180</v>
      </c>
      <c r="B88" s="14" t="str">
        <f aca="false">TEXT(A88,"ddd")</f>
        <v>Sun</v>
      </c>
      <c r="C88" s="27" t="n">
        <f aca="false">SUMPRODUCT((ScheduledTransactions[Type]="Income")*(DAY(A88)=ScheduledTransactions[Day of Month])*ScheduledTransactions[Amount])</f>
        <v>0</v>
      </c>
      <c r="D88" s="27" t="n">
        <f aca="false">SUMPRODUCT((ScheduledTransactions[Type]="Expense")*(DAY(A88)=ScheduledTransactions[Day of Month])*ScheduledTransactions[Amount])</f>
        <v>0</v>
      </c>
      <c r="E88" s="27" t="n">
        <f aca="false">E87+C88-D88</f>
        <v>13304</v>
      </c>
    </row>
    <row r="89" customFormat="false" ht="15" hidden="false" customHeight="false" outlineLevel="0" collapsed="false">
      <c r="A89" s="44" t="n">
        <f aca="false">A88+1</f>
        <v>46181</v>
      </c>
      <c r="B89" s="14" t="str">
        <f aca="false">TEXT(A89,"ddd")</f>
        <v>Mon</v>
      </c>
      <c r="C89" s="27" t="n">
        <f aca="false">SUMPRODUCT((ScheduledTransactions[Type]="Income")*(DAY(A89)=ScheduledTransactions[Day of Month])*ScheduledTransactions[Amount])</f>
        <v>0</v>
      </c>
      <c r="D89" s="27" t="n">
        <f aca="false">SUMPRODUCT((ScheduledTransactions[Type]="Expense")*(DAY(A89)=ScheduledTransactions[Day of Month])*ScheduledTransactions[Amount])</f>
        <v>0</v>
      </c>
      <c r="E89" s="27" t="n">
        <f aca="false">E88+C89-D89</f>
        <v>13304</v>
      </c>
    </row>
    <row r="90" customFormat="false" ht="15" hidden="false" customHeight="false" outlineLevel="0" collapsed="false">
      <c r="A90" s="44" t="n">
        <f aca="false">A89+1</f>
        <v>46182</v>
      </c>
      <c r="B90" s="14" t="str">
        <f aca="false">TEXT(A90,"ddd")</f>
        <v>Tue</v>
      </c>
      <c r="C90" s="27" t="n">
        <f aca="false">SUMPRODUCT((ScheduledTransactions[Type]="Income")*(DAY(A90)=ScheduledTransactions[Day of Month])*ScheduledTransactions[Amount])</f>
        <v>0</v>
      </c>
      <c r="D90" s="27" t="n">
        <f aca="false">SUMPRODUCT((ScheduledTransactions[Type]="Expense")*(DAY(A90)=ScheduledTransactions[Day of Month])*ScheduledTransactions[Amount])</f>
        <v>0</v>
      </c>
      <c r="E90" s="27" t="n">
        <f aca="false">E89+C90-D90</f>
        <v>13304</v>
      </c>
    </row>
    <row r="91" customFormat="false" ht="15" hidden="false" customHeight="false" outlineLevel="0" collapsed="false">
      <c r="A91" s="44" t="n">
        <f aca="false">A90+1</f>
        <v>46183</v>
      </c>
      <c r="B91" s="14" t="str">
        <f aca="false">TEXT(A91,"ddd")</f>
        <v>Wed</v>
      </c>
      <c r="C91" s="27" t="n">
        <f aca="false">SUMPRODUCT((ScheduledTransactions[Type]="Income")*(DAY(A91)=ScheduledTransactions[Day of Month])*ScheduledTransactions[Amount])</f>
        <v>0</v>
      </c>
      <c r="D91" s="27" t="n">
        <f aca="false">SUMPRODUCT((ScheduledTransactions[Type]="Expense")*(DAY(A91)=ScheduledTransactions[Day of Month])*ScheduledTransactions[Amount])</f>
        <v>150</v>
      </c>
      <c r="E91" s="27" t="n">
        <f aca="false">E90+C91-D91</f>
        <v>13154</v>
      </c>
    </row>
    <row r="92" customFormat="false" ht="15" hidden="false" customHeight="false" outlineLevel="0" collapsed="false">
      <c r="A92" s="44" t="n">
        <f aca="false">A91+1</f>
        <v>46184</v>
      </c>
      <c r="B92" s="14" t="str">
        <f aca="false">TEXT(A92,"ddd")</f>
        <v>Thu</v>
      </c>
      <c r="C92" s="27" t="n">
        <f aca="false">SUMPRODUCT((ScheduledTransactions[Type]="Income")*(DAY(A92)=ScheduledTransactions[Day of Month])*ScheduledTransactions[Amount])</f>
        <v>0</v>
      </c>
      <c r="D92" s="27" t="n">
        <f aca="false">SUMPRODUCT((ScheduledTransactions[Type]="Expense")*(DAY(A92)=ScheduledTransactions[Day of Month])*ScheduledTransactions[Amount])</f>
        <v>0</v>
      </c>
      <c r="E92" s="27" t="n">
        <f aca="false">E91+C92-D92</f>
        <v>13154</v>
      </c>
    </row>
    <row r="93" customFormat="false" ht="15" hidden="false" customHeight="false" outlineLevel="0" collapsed="false">
      <c r="A93" s="44" t="n">
        <f aca="false">A92+1</f>
        <v>46185</v>
      </c>
      <c r="B93" s="14" t="str">
        <f aca="false">TEXT(A93,"ddd")</f>
        <v>Fri</v>
      </c>
      <c r="C93" s="27" t="n">
        <f aca="false">SUMPRODUCT((ScheduledTransactions[Type]="Income")*(DAY(A93)=ScheduledTransactions[Day of Month])*ScheduledTransactions[Amount])</f>
        <v>0</v>
      </c>
      <c r="D93" s="27" t="n">
        <f aca="false">SUMPRODUCT((ScheduledTransactions[Type]="Expense")*(DAY(A93)=ScheduledTransactions[Day of Month])*ScheduledTransactions[Amount])</f>
        <v>80</v>
      </c>
      <c r="E93" s="27" t="n">
        <f aca="false">E92+C93-D93</f>
        <v>13074</v>
      </c>
    </row>
    <row r="94" customFormat="false" ht="15" hidden="false" customHeight="false" outlineLevel="0" collapsed="false">
      <c r="A94" s="44" t="n">
        <f aca="false">A93+1</f>
        <v>46186</v>
      </c>
      <c r="B94" s="14" t="str">
        <f aca="false">TEXT(A94,"ddd")</f>
        <v>Sat</v>
      </c>
      <c r="C94" s="27" t="n">
        <f aca="false">SUMPRODUCT((ScheduledTransactions[Type]="Income")*(DAY(A94)=ScheduledTransactions[Day of Month])*ScheduledTransactions[Amount])</f>
        <v>0</v>
      </c>
      <c r="D94" s="27" t="n">
        <f aca="false">SUMPRODUCT((ScheduledTransactions[Type]="Expense")*(DAY(A94)=ScheduledTransactions[Day of Month])*ScheduledTransactions[Amount])</f>
        <v>0</v>
      </c>
      <c r="E94" s="27" t="n">
        <f aca="false">E93+C94-D94</f>
        <v>13074</v>
      </c>
    </row>
    <row r="95" customFormat="false" ht="15" hidden="false" customHeight="false" outlineLevel="0" collapsed="false">
      <c r="A95" s="44" t="n">
        <f aca="false">A94+1</f>
        <v>46187</v>
      </c>
      <c r="B95" s="14" t="str">
        <f aca="false">TEXT(A95,"ddd")</f>
        <v>Sun</v>
      </c>
      <c r="C95" s="27" t="n">
        <f aca="false">SUMPRODUCT((ScheduledTransactions[Type]="Income")*(DAY(A95)=ScheduledTransactions[Day of Month])*ScheduledTransactions[Amount])</f>
        <v>0</v>
      </c>
      <c r="D95" s="27" t="n">
        <f aca="false">SUMPRODUCT((ScheduledTransactions[Type]="Expense")*(DAY(A95)=ScheduledTransactions[Day of Month])*ScheduledTransactions[Amount])</f>
        <v>0</v>
      </c>
      <c r="E95" s="27" t="n">
        <f aca="false">E94+C95-D95</f>
        <v>13074</v>
      </c>
    </row>
    <row r="96" customFormat="false" ht="15" hidden="false" customHeight="false" outlineLevel="0" collapsed="false">
      <c r="A96" s="44" t="n">
        <f aca="false">A95+1</f>
        <v>46188</v>
      </c>
      <c r="B96" s="14" t="str">
        <f aca="false">TEXT(A96,"ddd")</f>
        <v>Mon</v>
      </c>
      <c r="C96" s="27" t="n">
        <f aca="false">SUMPRODUCT((ScheduledTransactions[Type]="Income")*(DAY(A96)=ScheduledTransactions[Day of Month])*ScheduledTransactions[Amount])</f>
        <v>800</v>
      </c>
      <c r="D96" s="27" t="n">
        <f aca="false">SUMPRODUCT((ScheduledTransactions[Type]="Expense")*(DAY(A96)=ScheduledTransactions[Day of Month])*ScheduledTransactions[Amount])</f>
        <v>150</v>
      </c>
      <c r="E96" s="27" t="n">
        <f aca="false">E95+C96-D96</f>
        <v>13724</v>
      </c>
    </row>
    <row r="97" customFormat="false" ht="15" hidden="false" customHeight="false" outlineLevel="0" collapsed="false">
      <c r="A97" s="44" t="n">
        <f aca="false">A96+1</f>
        <v>46189</v>
      </c>
      <c r="B97" s="14" t="str">
        <f aca="false">TEXT(A97,"ddd")</f>
        <v>Tue</v>
      </c>
      <c r="C97" s="27" t="n">
        <f aca="false">SUMPRODUCT((ScheduledTransactions[Type]="Income")*(DAY(A97)=ScheduledTransactions[Day of Month])*ScheduledTransactions[Amount])</f>
        <v>0</v>
      </c>
      <c r="D97" s="27" t="n">
        <f aca="false">SUMPRODUCT((ScheduledTransactions[Type]="Expense")*(DAY(A97)=ScheduledTransactions[Day of Month])*ScheduledTransactions[Amount])</f>
        <v>0</v>
      </c>
      <c r="E97" s="27" t="n">
        <f aca="false">E96+C97-D97</f>
        <v>13724</v>
      </c>
    </row>
    <row r="98" customFormat="false" ht="15" hidden="false" customHeight="false" outlineLevel="0" collapsed="false">
      <c r="A98" s="44" t="n">
        <f aca="false">A97+1</f>
        <v>46190</v>
      </c>
      <c r="B98" s="14" t="str">
        <f aca="false">TEXT(A98,"ddd")</f>
        <v>Wed</v>
      </c>
      <c r="C98" s="27" t="n">
        <f aca="false">SUMPRODUCT((ScheduledTransactions[Type]="Income")*(DAY(A98)=ScheduledTransactions[Day of Month])*ScheduledTransactions[Amount])</f>
        <v>0</v>
      </c>
      <c r="D98" s="27" t="n">
        <f aca="false">SUMPRODUCT((ScheduledTransactions[Type]="Expense")*(DAY(A98)=ScheduledTransactions[Day of Month])*ScheduledTransactions[Amount])</f>
        <v>0</v>
      </c>
      <c r="E98" s="27" t="n">
        <f aca="false">E97+C98-D98</f>
        <v>13724</v>
      </c>
    </row>
    <row r="99" customFormat="false" ht="15" hidden="false" customHeight="false" outlineLevel="0" collapsed="false">
      <c r="A99" s="44" t="n">
        <f aca="false">A98+1</f>
        <v>46191</v>
      </c>
      <c r="B99" s="14" t="str">
        <f aca="false">TEXT(A99,"ddd")</f>
        <v>Thu</v>
      </c>
      <c r="C99" s="27" t="n">
        <f aca="false">SUMPRODUCT((ScheduledTransactions[Type]="Income")*(DAY(A99)=ScheduledTransactions[Day of Month])*ScheduledTransactions[Amount])</f>
        <v>0</v>
      </c>
      <c r="D99" s="27" t="n">
        <f aca="false">SUMPRODUCT((ScheduledTransactions[Type]="Expense")*(DAY(A99)=ScheduledTransactions[Day of Month])*ScheduledTransactions[Amount])</f>
        <v>0</v>
      </c>
      <c r="E99" s="27" t="n">
        <f aca="false">E98+C99-D99</f>
        <v>13724</v>
      </c>
    </row>
    <row r="100" customFormat="false" ht="15" hidden="false" customHeight="false" outlineLevel="0" collapsed="false">
      <c r="A100" s="44" t="n">
        <f aca="false">A99+1</f>
        <v>46192</v>
      </c>
      <c r="B100" s="14" t="str">
        <f aca="false">TEXT(A100,"ddd")</f>
        <v>Fri</v>
      </c>
      <c r="C100" s="27" t="n">
        <f aca="false">SUMPRODUCT((ScheduledTransactions[Type]="Income")*(DAY(A100)=ScheduledTransactions[Day of Month])*ScheduledTransactions[Amount])</f>
        <v>0</v>
      </c>
      <c r="D100" s="27" t="n">
        <f aca="false">SUMPRODUCT((ScheduledTransactions[Type]="Expense")*(DAY(A100)=ScheduledTransactions[Day of Month])*ScheduledTransactions[Amount])</f>
        <v>0</v>
      </c>
      <c r="E100" s="27" t="n">
        <f aca="false">E99+C100-D100</f>
        <v>13724</v>
      </c>
    </row>
    <row r="101" customFormat="false" ht="15" hidden="false" customHeight="false" outlineLevel="0" collapsed="false">
      <c r="A101" s="44" t="n">
        <f aca="false">A100+1</f>
        <v>46193</v>
      </c>
      <c r="B101" s="14" t="str">
        <f aca="false">TEXT(A101,"ddd")</f>
        <v>Sat</v>
      </c>
      <c r="C101" s="27" t="n">
        <f aca="false">SUMPRODUCT((ScheduledTransactions[Type]="Income")*(DAY(A101)=ScheduledTransactions[Day of Month])*ScheduledTransactions[Amount])</f>
        <v>0</v>
      </c>
      <c r="D101" s="27" t="n">
        <f aca="false">SUMPRODUCT((ScheduledTransactions[Type]="Expense")*(DAY(A101)=ScheduledTransactions[Day of Month])*ScheduledTransactions[Amount])</f>
        <v>0</v>
      </c>
      <c r="E101" s="27" t="n">
        <f aca="false">E100+C101-D101</f>
        <v>13724</v>
      </c>
    </row>
    <row r="102" customFormat="false" ht="15" hidden="false" customHeight="false" outlineLevel="0" collapsed="false">
      <c r="A102" s="44" t="n">
        <f aca="false">A101+1</f>
        <v>46194</v>
      </c>
      <c r="B102" s="14" t="str">
        <f aca="false">TEXT(A102,"ddd")</f>
        <v>Sun</v>
      </c>
      <c r="C102" s="27" t="n">
        <f aca="false">SUMPRODUCT((ScheduledTransactions[Type]="Income")*(DAY(A102)=ScheduledTransactions[Day of Month])*ScheduledTransactions[Amount])</f>
        <v>0</v>
      </c>
      <c r="D102" s="27" t="n">
        <f aca="false">SUMPRODUCT((ScheduledTransactions[Type]="Expense")*(DAY(A102)=ScheduledTransactions[Day of Month])*ScheduledTransactions[Amount])</f>
        <v>0</v>
      </c>
      <c r="E102" s="27" t="n">
        <f aca="false">E101+C102-D102</f>
        <v>13724</v>
      </c>
    </row>
    <row r="103" customFormat="false" ht="15" hidden="false" customHeight="false" outlineLevel="0" collapsed="false">
      <c r="A103" s="44" t="n">
        <f aca="false">A102+1</f>
        <v>46195</v>
      </c>
      <c r="B103" s="14" t="str">
        <f aca="false">TEXT(A103,"ddd")</f>
        <v>Mon</v>
      </c>
      <c r="C103" s="27" t="n">
        <f aca="false">SUMPRODUCT((ScheduledTransactions[Type]="Income")*(DAY(A103)=ScheduledTransactions[Day of Month])*ScheduledTransactions[Amount])</f>
        <v>0</v>
      </c>
      <c r="D103" s="27" t="n">
        <f aca="false">SUMPRODUCT((ScheduledTransactions[Type]="Expense")*(DAY(A103)=ScheduledTransactions[Day of Month])*ScheduledTransactions[Amount])</f>
        <v>18</v>
      </c>
      <c r="E103" s="27" t="n">
        <f aca="false">E102+C103-D103</f>
        <v>13706</v>
      </c>
    </row>
    <row r="104" customFormat="false" ht="15" hidden="false" customHeight="false" outlineLevel="0" collapsed="false">
      <c r="A104" s="44" t="n">
        <f aca="false">A103+1</f>
        <v>46196</v>
      </c>
      <c r="B104" s="14" t="str">
        <f aca="false">TEXT(A104,"ddd")</f>
        <v>Tue</v>
      </c>
      <c r="C104" s="27" t="n">
        <f aca="false">SUMPRODUCT((ScheduledTransactions[Type]="Income")*(DAY(A104)=ScheduledTransactions[Day of Month])*ScheduledTransactions[Amount])</f>
        <v>0</v>
      </c>
      <c r="D104" s="27" t="n">
        <f aca="false">SUMPRODUCT((ScheduledTransactions[Type]="Expense")*(DAY(A104)=ScheduledTransactions[Day of Month])*ScheduledTransactions[Amount])</f>
        <v>0</v>
      </c>
      <c r="E104" s="27" t="n">
        <f aca="false">E103+C104-D104</f>
        <v>13706</v>
      </c>
    </row>
    <row r="105" customFormat="false" ht="15" hidden="false" customHeight="false" outlineLevel="0" collapsed="false">
      <c r="A105" s="44" t="n">
        <f aca="false">A104+1</f>
        <v>46197</v>
      </c>
      <c r="B105" s="14" t="str">
        <f aca="false">TEXT(A105,"ddd")</f>
        <v>Wed</v>
      </c>
      <c r="C105" s="27" t="n">
        <f aca="false">SUMPRODUCT((ScheduledTransactions[Type]="Income")*(DAY(A105)=ScheduledTransactions[Day of Month])*ScheduledTransactions[Amount])</f>
        <v>0</v>
      </c>
      <c r="D105" s="27" t="n">
        <f aca="false">SUMPRODUCT((ScheduledTransactions[Type]="Expense")*(DAY(A105)=ScheduledTransactions[Day of Month])*ScheduledTransactions[Amount])</f>
        <v>0</v>
      </c>
      <c r="E105" s="27" t="n">
        <f aca="false">E104+C105-D105</f>
        <v>13706</v>
      </c>
    </row>
    <row r="106" customFormat="false" ht="15" hidden="false" customHeight="false" outlineLevel="0" collapsed="false">
      <c r="A106" s="44" t="n">
        <f aca="false">A105+1</f>
        <v>46198</v>
      </c>
      <c r="B106" s="14" t="str">
        <f aca="false">TEXT(A106,"ddd")</f>
        <v>Thu</v>
      </c>
      <c r="C106" s="27" t="n">
        <f aca="false">SUMPRODUCT((ScheduledTransactions[Type]="Income")*(DAY(A106)=ScheduledTransactions[Day of Month])*ScheduledTransactions[Amount])</f>
        <v>0</v>
      </c>
      <c r="D106" s="27" t="n">
        <f aca="false">SUMPRODUCT((ScheduledTransactions[Type]="Expense")*(DAY(A106)=ScheduledTransactions[Day of Month])*ScheduledTransactions[Amount])</f>
        <v>0</v>
      </c>
      <c r="E106" s="27" t="n">
        <f aca="false">E105+C106-D106</f>
        <v>13706</v>
      </c>
    </row>
    <row r="107" customFormat="false" ht="15" hidden="false" customHeight="false" outlineLevel="0" collapsed="false">
      <c r="A107" s="44" t="n">
        <f aca="false">A106+1</f>
        <v>46199</v>
      </c>
      <c r="B107" s="14" t="str">
        <f aca="false">TEXT(A107,"ddd")</f>
        <v>Fri</v>
      </c>
      <c r="C107" s="27" t="n">
        <f aca="false">SUMPRODUCT((ScheduledTransactions[Type]="Income")*(DAY(A107)=ScheduledTransactions[Day of Month])*ScheduledTransactions[Amount])</f>
        <v>0</v>
      </c>
      <c r="D107" s="27" t="n">
        <f aca="false">SUMPRODUCT((ScheduledTransactions[Type]="Expense")*(DAY(A107)=ScheduledTransactions[Day of Month])*ScheduledTransactions[Amount])</f>
        <v>0</v>
      </c>
      <c r="E107" s="27" t="n">
        <f aca="false">E106+C107-D107</f>
        <v>13706</v>
      </c>
    </row>
    <row r="108" customFormat="false" ht="15" hidden="false" customHeight="false" outlineLevel="0" collapsed="false">
      <c r="A108" s="44" t="n">
        <f aca="false">A107+1</f>
        <v>46200</v>
      </c>
      <c r="B108" s="14" t="str">
        <f aca="false">TEXT(A108,"ddd")</f>
        <v>Sat</v>
      </c>
      <c r="C108" s="27" t="n">
        <f aca="false">SUMPRODUCT((ScheduledTransactions[Type]="Income")*(DAY(A108)=ScheduledTransactions[Day of Month])*ScheduledTransactions[Amount])</f>
        <v>0</v>
      </c>
      <c r="D108" s="27" t="n">
        <f aca="false">SUMPRODUCT((ScheduledTransactions[Type]="Expense")*(DAY(A108)=ScheduledTransactions[Day of Month])*ScheduledTransactions[Amount])</f>
        <v>0</v>
      </c>
      <c r="E108" s="27" t="n">
        <f aca="false">E107+C108-D108</f>
        <v>13706</v>
      </c>
    </row>
  </sheetData>
  <mergeCells count="3">
    <mergeCell ref="A1:E1"/>
    <mergeCell ref="A5:E5"/>
    <mergeCell ref="A17:E17"/>
  </mergeCells>
  <conditionalFormatting sqref="E19:E108">
    <cfRule type="cellIs" priority="2" operator="lessThan" aboveAverage="0" equalAverage="0" bottom="0" percent="0" rank="0" text="" dxfId="1">
      <formula>0</formula>
    </cfRule>
    <cfRule type="cellIs" priority="3" operator="between" aboveAverage="0" equalAverage="0" bottom="0" percent="0" rank="0" text="" dxfId="10">
      <formula>0</formula>
      <formula>500</formula>
    </cfRule>
    <cfRule type="cellIs" priority="4" operator="greaterThan" aboveAverage="0" equalAverage="0" bottom="0" percent="0" rank="0" text="" dxfId="0">
      <formula>500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3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0" topLeftCell="A3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8"/>
  </cols>
  <sheetData>
    <row r="1" customFormat="false" ht="27.75" hidden="false" customHeight="true" outlineLevel="0" collapsed="false">
      <c r="A1" s="45" t="s">
        <v>91</v>
      </c>
      <c r="B1" s="45"/>
      <c r="C1" s="45"/>
      <c r="D1" s="45"/>
      <c r="E1" s="45"/>
      <c r="F1" s="45"/>
    </row>
    <row r="3" customFormat="false" ht="19.5" hidden="false" customHeight="true" outlineLevel="0" collapsed="false">
      <c r="A3" s="32" t="s">
        <v>92</v>
      </c>
      <c r="B3" s="32"/>
      <c r="C3" s="32"/>
    </row>
    <row r="4" customFormat="false" ht="15" hidden="false" customHeight="false" outlineLevel="0" collapsed="false">
      <c r="A4" s="38" t="s">
        <v>93</v>
      </c>
      <c r="B4" s="26" t="n">
        <v>400000</v>
      </c>
    </row>
    <row r="5" customFormat="false" ht="15" hidden="false" customHeight="false" outlineLevel="0" collapsed="false">
      <c r="A5" s="38" t="s">
        <v>94</v>
      </c>
      <c r="B5" s="26" t="n">
        <v>80000</v>
      </c>
    </row>
    <row r="6" customFormat="false" ht="15" hidden="false" customHeight="false" outlineLevel="0" collapsed="false">
      <c r="A6" s="38" t="s">
        <v>95</v>
      </c>
      <c r="B6" s="28" t="n">
        <f aca="false">B5/B4</f>
        <v>0.2</v>
      </c>
    </row>
    <row r="7" customFormat="false" ht="15" hidden="false" customHeight="false" outlineLevel="0" collapsed="false">
      <c r="A7" s="38" t="s">
        <v>96</v>
      </c>
      <c r="B7" s="27" t="n">
        <f aca="false">B4-B5</f>
        <v>320000</v>
      </c>
    </row>
    <row r="8" customFormat="false" ht="15" hidden="false" customHeight="false" outlineLevel="0" collapsed="false">
      <c r="A8" s="38" t="s">
        <v>97</v>
      </c>
      <c r="B8" s="46" t="n">
        <v>0.0675</v>
      </c>
    </row>
    <row r="9" customFormat="false" ht="15" hidden="false" customHeight="false" outlineLevel="0" collapsed="false">
      <c r="A9" s="38" t="s">
        <v>98</v>
      </c>
      <c r="B9" s="47" t="n">
        <v>30</v>
      </c>
    </row>
    <row r="10" customFormat="false" ht="15" hidden="false" customHeight="false" outlineLevel="0" collapsed="false">
      <c r="A10" s="38" t="s">
        <v>99</v>
      </c>
      <c r="B10" s="48" t="n">
        <f aca="false">B8/12</f>
        <v>0.005625</v>
      </c>
    </row>
    <row r="11" customFormat="false" ht="15" hidden="false" customHeight="false" outlineLevel="0" collapsed="false">
      <c r="A11" s="38" t="s">
        <v>100</v>
      </c>
      <c r="B11" s="49" t="n">
        <f aca="false">B9*12</f>
        <v>360</v>
      </c>
    </row>
    <row r="12" customFormat="false" ht="15" hidden="false" customHeight="false" outlineLevel="0" collapsed="false">
      <c r="A12" s="38" t="s">
        <v>101</v>
      </c>
      <c r="B12" s="50" t="n">
        <v>46023</v>
      </c>
    </row>
    <row r="13" customFormat="false" ht="15" hidden="false" customHeight="false" outlineLevel="0" collapsed="false">
      <c r="A13" s="51" t="s">
        <v>22</v>
      </c>
      <c r="B13" s="52" t="n">
        <f aca="false">PMT(B10,B11,-B7)</f>
        <v>2075.51390901829</v>
      </c>
    </row>
    <row r="15" customFormat="false" ht="19.5" hidden="false" customHeight="true" outlineLevel="0" collapsed="false">
      <c r="A15" s="32" t="s">
        <v>102</v>
      </c>
      <c r="B15" s="32"/>
      <c r="C15" s="32"/>
    </row>
    <row r="16" customFormat="false" ht="15" hidden="false" customHeight="false" outlineLevel="0" collapsed="false">
      <c r="A16" s="38" t="s">
        <v>103</v>
      </c>
      <c r="B16" s="26" t="n">
        <v>0</v>
      </c>
    </row>
    <row r="17" customFormat="false" ht="15" hidden="false" customHeight="false" outlineLevel="0" collapsed="false">
      <c r="A17" s="38" t="s">
        <v>104</v>
      </c>
      <c r="B17" s="27" t="n">
        <f aca="false">B13+B16</f>
        <v>2075.51390901829</v>
      </c>
    </row>
    <row r="19" customFormat="false" ht="19.5" hidden="false" customHeight="true" outlineLevel="0" collapsed="false">
      <c r="A19" s="32" t="s">
        <v>105</v>
      </c>
      <c r="B19" s="32"/>
      <c r="C19" s="32"/>
    </row>
    <row r="20" customFormat="false" ht="15" hidden="false" customHeight="false" outlineLevel="0" collapsed="false">
      <c r="A20" s="33" t="s">
        <v>106</v>
      </c>
      <c r="B20" s="33" t="s">
        <v>107</v>
      </c>
      <c r="C20" s="33" t="s">
        <v>108</v>
      </c>
    </row>
    <row r="21" customFormat="false" ht="15" hidden="false" customHeight="false" outlineLevel="0" collapsed="false">
      <c r="A21" s="38" t="s">
        <v>22</v>
      </c>
      <c r="B21" s="27" t="n">
        <f aca="false">B13</f>
        <v>2075.51390901829</v>
      </c>
      <c r="C21" s="18" t="n">
        <f aca="false">B17</f>
        <v>2075.51390901829</v>
      </c>
    </row>
    <row r="22" customFormat="false" ht="15" hidden="false" customHeight="false" outlineLevel="0" collapsed="false">
      <c r="A22" s="38" t="s">
        <v>109</v>
      </c>
      <c r="B22" s="27" t="n">
        <f aca="false">B13*B11</f>
        <v>747185.007246584</v>
      </c>
      <c r="C22" s="18" t="n">
        <f aca="false">B17*CEILING(NPER(B10,-B17,-B7),1)</f>
        <v>-230382.04390103</v>
      </c>
    </row>
    <row r="23" customFormat="false" ht="15" hidden="false" customHeight="false" outlineLevel="0" collapsed="false">
      <c r="A23" s="38" t="s">
        <v>110</v>
      </c>
      <c r="B23" s="27" t="n">
        <f aca="false">B13*B11-B7</f>
        <v>427185.007246584</v>
      </c>
      <c r="C23" s="18" t="n">
        <f aca="false">B17*CEILING(NPER(B10,-B17,-B7),1)-B7</f>
        <v>-550382.04390103</v>
      </c>
    </row>
    <row r="24" customFormat="false" ht="15" hidden="false" customHeight="false" outlineLevel="0" collapsed="false">
      <c r="A24" s="38" t="s">
        <v>111</v>
      </c>
      <c r="B24" s="53" t="n">
        <f aca="false">EDATE(B12,B11)</f>
        <v>56980</v>
      </c>
      <c r="C24" s="54" t="n">
        <f aca="false">EDATE(B12,CEILING(NPER(B10,-B17,-B7),1))</f>
        <v>42644</v>
      </c>
    </row>
    <row r="25" customFormat="false" ht="15" hidden="false" customHeight="false" outlineLevel="0" collapsed="false">
      <c r="A25" s="38" t="s">
        <v>112</v>
      </c>
      <c r="B25" s="55" t="s">
        <v>113</v>
      </c>
      <c r="C25" s="18" t="n">
        <f aca="false">C23-D23</f>
        <v>-550382.04390103</v>
      </c>
    </row>
    <row r="26" customFormat="false" ht="15" hidden="false" customHeight="false" outlineLevel="0" collapsed="false">
      <c r="A26" s="38" t="s">
        <v>114</v>
      </c>
      <c r="B26" s="55" t="s">
        <v>113</v>
      </c>
      <c r="C26" s="56" t="n">
        <f aca="false">B11-CEILING(NPER(B10,-B17,-B7),1)</f>
        <v>471</v>
      </c>
    </row>
    <row r="29" customFormat="false" ht="19.5" hidden="false" customHeight="true" outlineLevel="0" collapsed="false">
      <c r="A29" s="32" t="s">
        <v>115</v>
      </c>
      <c r="B29" s="32"/>
      <c r="C29" s="32"/>
      <c r="D29" s="32"/>
      <c r="E29" s="32"/>
      <c r="F29" s="32"/>
    </row>
    <row r="30" customFormat="false" ht="15" hidden="false" customHeight="false" outlineLevel="0" collapsed="false">
      <c r="A30" s="33" t="s">
        <v>116</v>
      </c>
      <c r="B30" s="33" t="s">
        <v>117</v>
      </c>
      <c r="C30" s="33" t="s">
        <v>118</v>
      </c>
      <c r="D30" s="33" t="s">
        <v>119</v>
      </c>
      <c r="E30" s="33" t="s">
        <v>120</v>
      </c>
      <c r="F30" s="33" t="s">
        <v>121</v>
      </c>
    </row>
    <row r="31" customFormat="false" ht="15" hidden="false" customHeight="false" outlineLevel="0" collapsed="false">
      <c r="F31" s="26" t="n">
        <f aca="false">B7</f>
        <v>320000</v>
      </c>
    </row>
    <row r="32" customFormat="false" ht="15" hidden="false" customHeight="false" outlineLevel="0" collapsed="false">
      <c r="A32" s="14" t="n">
        <v>1</v>
      </c>
      <c r="B32" s="57" t="n">
        <f aca="false">EDATE($B$12,A32)</f>
        <v>46054</v>
      </c>
      <c r="C32" s="27" t="n">
        <f aca="false">$B$13</f>
        <v>2075.51390901829</v>
      </c>
      <c r="D32" s="27" t="n">
        <f aca="false">C32-E32</f>
        <v>275.513909018289</v>
      </c>
      <c r="E32" s="27" t="n">
        <f aca="false">F31*$B$10</f>
        <v>1800</v>
      </c>
      <c r="F32" s="27" t="n">
        <f aca="false">MAX(0,F31-D32)</f>
        <v>319724.486090982</v>
      </c>
    </row>
    <row r="33" customFormat="false" ht="15" hidden="false" customHeight="false" outlineLevel="0" collapsed="false">
      <c r="A33" s="14" t="n">
        <v>2</v>
      </c>
      <c r="B33" s="57" t="n">
        <f aca="false">EDATE($B$12,A33)</f>
        <v>46082</v>
      </c>
      <c r="C33" s="27" t="n">
        <f aca="false">$B$13</f>
        <v>2075.51390901829</v>
      </c>
      <c r="D33" s="27" t="n">
        <f aca="false">C33-E33</f>
        <v>277.063674756517</v>
      </c>
      <c r="E33" s="27" t="n">
        <f aca="false">F32*$B$10</f>
        <v>1798.45023426177</v>
      </c>
      <c r="F33" s="27" t="n">
        <f aca="false">MAX(0,F32-D33)</f>
        <v>319447.422416225</v>
      </c>
    </row>
    <row r="34" customFormat="false" ht="15" hidden="false" customHeight="false" outlineLevel="0" collapsed="false">
      <c r="A34" s="14" t="n">
        <v>3</v>
      </c>
      <c r="B34" s="57" t="n">
        <f aca="false">EDATE($B$12,A34)</f>
        <v>46113</v>
      </c>
      <c r="C34" s="27" t="n">
        <f aca="false">$B$13</f>
        <v>2075.51390901829</v>
      </c>
      <c r="D34" s="27" t="n">
        <f aca="false">C34-E34</f>
        <v>278.622157927022</v>
      </c>
      <c r="E34" s="27" t="n">
        <f aca="false">F33*$B$10</f>
        <v>1796.89175109127</v>
      </c>
      <c r="F34" s="27" t="n">
        <f aca="false">MAX(0,F33-D34)</f>
        <v>319168.800258298</v>
      </c>
    </row>
    <row r="35" customFormat="false" ht="15" hidden="false" customHeight="false" outlineLevel="0" collapsed="false">
      <c r="A35" s="14" t="n">
        <v>4</v>
      </c>
      <c r="B35" s="57" t="n">
        <f aca="false">EDATE($B$12,A35)</f>
        <v>46143</v>
      </c>
      <c r="C35" s="27" t="n">
        <f aca="false">$B$13</f>
        <v>2075.51390901829</v>
      </c>
      <c r="D35" s="27" t="n">
        <f aca="false">C35-E35</f>
        <v>280.189407565361</v>
      </c>
      <c r="E35" s="27" t="n">
        <f aca="false">F34*$B$10</f>
        <v>1795.32450145293</v>
      </c>
      <c r="F35" s="27" t="n">
        <f aca="false">MAX(0,F34-D35)</f>
        <v>318888.610850733</v>
      </c>
    </row>
    <row r="36" customFormat="false" ht="15" hidden="false" customHeight="false" outlineLevel="0" collapsed="false">
      <c r="A36" s="14" t="n">
        <v>5</v>
      </c>
      <c r="B36" s="57" t="n">
        <f aca="false">EDATE($B$12,A36)</f>
        <v>46174</v>
      </c>
      <c r="C36" s="27" t="n">
        <f aca="false">$B$13</f>
        <v>2075.51390901829</v>
      </c>
      <c r="D36" s="27" t="n">
        <f aca="false">C36-E36</f>
        <v>281.765472982916</v>
      </c>
      <c r="E36" s="27" t="n">
        <f aca="false">F35*$B$10</f>
        <v>1793.74843603537</v>
      </c>
      <c r="F36" s="27" t="n">
        <f aca="false">MAX(0,F35-D36)</f>
        <v>318606.84537775</v>
      </c>
    </row>
    <row r="37" customFormat="false" ht="15" hidden="false" customHeight="false" outlineLevel="0" collapsed="false">
      <c r="A37" s="14" t="n">
        <v>6</v>
      </c>
      <c r="B37" s="57" t="n">
        <f aca="false">EDATE($B$12,A37)</f>
        <v>46204</v>
      </c>
      <c r="C37" s="27" t="n">
        <f aca="false">$B$13</f>
        <v>2075.51390901829</v>
      </c>
      <c r="D37" s="27" t="n">
        <f aca="false">C37-E37</f>
        <v>283.350403768445</v>
      </c>
      <c r="E37" s="27" t="n">
        <f aca="false">F36*$B$10</f>
        <v>1792.16350524984</v>
      </c>
      <c r="F37" s="27" t="n">
        <f aca="false">MAX(0,F36-D37)</f>
        <v>318323.494973982</v>
      </c>
    </row>
    <row r="38" customFormat="false" ht="15" hidden="false" customHeight="false" outlineLevel="0" collapsed="false">
      <c r="A38" s="14" t="n">
        <v>7</v>
      </c>
      <c r="B38" s="57" t="n">
        <f aca="false">EDATE($B$12,A38)</f>
        <v>46235</v>
      </c>
      <c r="C38" s="27" t="n">
        <f aca="false">$B$13</f>
        <v>2075.51390901829</v>
      </c>
      <c r="D38" s="27" t="n">
        <f aca="false">C38-E38</f>
        <v>284.944249789643</v>
      </c>
      <c r="E38" s="27" t="n">
        <f aca="false">F37*$B$10</f>
        <v>1790.56965922865</v>
      </c>
      <c r="F38" s="27" t="n">
        <f aca="false">MAX(0,F37-D38)</f>
        <v>318038.550724192</v>
      </c>
    </row>
    <row r="39" customFormat="false" ht="15" hidden="false" customHeight="false" outlineLevel="0" collapsed="false">
      <c r="A39" s="14" t="n">
        <v>8</v>
      </c>
      <c r="B39" s="57" t="n">
        <f aca="false">EDATE($B$12,A39)</f>
        <v>46266</v>
      </c>
      <c r="C39" s="27" t="n">
        <f aca="false">$B$13</f>
        <v>2075.51390901829</v>
      </c>
      <c r="D39" s="27" t="n">
        <f aca="false">C39-E39</f>
        <v>286.547061194709</v>
      </c>
      <c r="E39" s="27" t="n">
        <f aca="false">F38*$B$10</f>
        <v>1788.96684782358</v>
      </c>
      <c r="F39" s="27" t="n">
        <f aca="false">MAX(0,F38-D39)</f>
        <v>317752.003662997</v>
      </c>
    </row>
    <row r="40" customFormat="false" ht="15" hidden="false" customHeight="false" outlineLevel="0" collapsed="false">
      <c r="A40" s="14" t="n">
        <v>9</v>
      </c>
      <c r="B40" s="57" t="n">
        <f aca="false">EDATE($B$12,A40)</f>
        <v>46296</v>
      </c>
      <c r="C40" s="27" t="n">
        <f aca="false">$B$13</f>
        <v>2075.51390901829</v>
      </c>
      <c r="D40" s="27" t="n">
        <f aca="false">C40-E40</f>
        <v>288.15888841393</v>
      </c>
      <c r="E40" s="27" t="n">
        <f aca="false">F39*$B$10</f>
        <v>1787.35502060436</v>
      </c>
      <c r="F40" s="27" t="n">
        <f aca="false">MAX(0,F39-D40)</f>
        <v>317463.844774583</v>
      </c>
    </row>
    <row r="41" customFormat="false" ht="15" hidden="false" customHeight="false" outlineLevel="0" collapsed="false">
      <c r="A41" s="14" t="n">
        <v>10</v>
      </c>
      <c r="B41" s="57" t="n">
        <f aca="false">EDATE($B$12,A41)</f>
        <v>46327</v>
      </c>
      <c r="C41" s="27" t="n">
        <f aca="false">$B$13</f>
        <v>2075.51390901829</v>
      </c>
      <c r="D41" s="27" t="n">
        <f aca="false">C41-E41</f>
        <v>289.779782161258</v>
      </c>
      <c r="E41" s="27" t="n">
        <f aca="false">F40*$B$10</f>
        <v>1785.73412685703</v>
      </c>
      <c r="F41" s="27" t="n">
        <f aca="false">MAX(0,F40-D41)</f>
        <v>317174.064992422</v>
      </c>
    </row>
    <row r="42" customFormat="false" ht="15" hidden="false" customHeight="false" outlineLevel="0" collapsed="false">
      <c r="A42" s="14" t="n">
        <v>11</v>
      </c>
      <c r="B42" s="57" t="n">
        <f aca="false">EDATE($B$12,A42)</f>
        <v>46357</v>
      </c>
      <c r="C42" s="27" t="n">
        <f aca="false">$B$13</f>
        <v>2075.51390901829</v>
      </c>
      <c r="D42" s="27" t="n">
        <f aca="false">C42-E42</f>
        <v>291.409793435915</v>
      </c>
      <c r="E42" s="27" t="n">
        <f aca="false">F41*$B$10</f>
        <v>1784.10411558237</v>
      </c>
      <c r="F42" s="27" t="n">
        <f aca="false">MAX(0,F41-D42)</f>
        <v>316882.655198986</v>
      </c>
    </row>
    <row r="43" customFormat="false" ht="15" hidden="false" customHeight="false" outlineLevel="0" collapsed="false">
      <c r="A43" s="14" t="n">
        <v>12</v>
      </c>
      <c r="B43" s="57" t="n">
        <f aca="false">EDATE($B$12,A43)</f>
        <v>46388</v>
      </c>
      <c r="C43" s="27" t="n">
        <f aca="false">$B$13</f>
        <v>2075.51390901829</v>
      </c>
      <c r="D43" s="27" t="n">
        <f aca="false">C43-E43</f>
        <v>293.048973523992</v>
      </c>
      <c r="E43" s="27" t="n">
        <f aca="false">F42*$B$10</f>
        <v>1782.4649354943</v>
      </c>
      <c r="F43" s="27" t="n">
        <f aca="false">MAX(0,F42-D43)</f>
        <v>316589.606225462</v>
      </c>
    </row>
    <row r="44" customFormat="false" ht="15" hidden="false" customHeight="false" outlineLevel="0" collapsed="false">
      <c r="A44" s="14" t="n">
        <v>13</v>
      </c>
      <c r="B44" s="57" t="n">
        <f aca="false">EDATE($B$12,A44)</f>
        <v>46419</v>
      </c>
      <c r="C44" s="27" t="n">
        <f aca="false">$B$13</f>
        <v>2075.51390901829</v>
      </c>
      <c r="D44" s="27" t="n">
        <f aca="false">C44-E44</f>
        <v>294.697374000064</v>
      </c>
      <c r="E44" s="27" t="n">
        <f aca="false">F43*$B$10</f>
        <v>1780.81653501822</v>
      </c>
      <c r="F44" s="27" t="n">
        <f aca="false">MAX(0,F43-D44)</f>
        <v>316294.908851462</v>
      </c>
    </row>
    <row r="45" customFormat="false" ht="15" hidden="false" customHeight="false" outlineLevel="0" collapsed="false">
      <c r="A45" s="14" t="n">
        <v>14</v>
      </c>
      <c r="B45" s="57" t="n">
        <f aca="false">EDATE($B$12,A45)</f>
        <v>46447</v>
      </c>
      <c r="C45" s="27" t="n">
        <f aca="false">$B$13</f>
        <v>2075.51390901829</v>
      </c>
      <c r="D45" s="27" t="n">
        <f aca="false">C45-E45</f>
        <v>296.355046728814</v>
      </c>
      <c r="E45" s="27" t="n">
        <f aca="false">F44*$B$10</f>
        <v>1779.15886228947</v>
      </c>
      <c r="F45" s="27" t="n">
        <f aca="false">MAX(0,F44-D45)</f>
        <v>315998.553804733</v>
      </c>
    </row>
    <row r="46" customFormat="false" ht="15" hidden="false" customHeight="false" outlineLevel="0" collapsed="false">
      <c r="A46" s="14" t="n">
        <v>15</v>
      </c>
      <c r="B46" s="57" t="n">
        <f aca="false">EDATE($B$12,A46)</f>
        <v>46478</v>
      </c>
      <c r="C46" s="27" t="n">
        <f aca="false">$B$13</f>
        <v>2075.51390901829</v>
      </c>
      <c r="D46" s="27" t="n">
        <f aca="false">C46-E46</f>
        <v>298.022043866664</v>
      </c>
      <c r="E46" s="27" t="n">
        <f aca="false">F45*$B$10</f>
        <v>1777.49186515162</v>
      </c>
      <c r="F46" s="27" t="n">
        <f aca="false">MAX(0,F45-D46)</f>
        <v>315700.531760867</v>
      </c>
    </row>
    <row r="47" customFormat="false" ht="15" hidden="false" customHeight="false" outlineLevel="0" collapsed="false">
      <c r="A47" s="14" t="n">
        <v>16</v>
      </c>
      <c r="B47" s="57" t="n">
        <f aca="false">EDATE($B$12,A47)</f>
        <v>46508</v>
      </c>
      <c r="C47" s="27" t="n">
        <f aca="false">$B$13</f>
        <v>2075.51390901829</v>
      </c>
      <c r="D47" s="27" t="n">
        <f aca="false">C47-E47</f>
        <v>299.698417863414</v>
      </c>
      <c r="E47" s="27" t="n">
        <f aca="false">F46*$B$10</f>
        <v>1775.81549115487</v>
      </c>
      <c r="F47" s="27" t="n">
        <f aca="false">MAX(0,F46-D47)</f>
        <v>315400.833343003</v>
      </c>
    </row>
    <row r="48" customFormat="false" ht="15" hidden="false" customHeight="false" outlineLevel="0" collapsed="false">
      <c r="A48" s="14" t="n">
        <v>17</v>
      </c>
      <c r="B48" s="57" t="n">
        <f aca="false">EDATE($B$12,A48)</f>
        <v>46539</v>
      </c>
      <c r="C48" s="27" t="n">
        <f aca="false">$B$13</f>
        <v>2075.51390901829</v>
      </c>
      <c r="D48" s="27" t="n">
        <f aca="false">C48-E48</f>
        <v>301.384221463896</v>
      </c>
      <c r="E48" s="27" t="n">
        <f aca="false">F47*$B$10</f>
        <v>1774.12968755439</v>
      </c>
      <c r="F48" s="27" t="n">
        <f aca="false">MAX(0,F47-D48)</f>
        <v>315099.449121539</v>
      </c>
    </row>
    <row r="49" customFormat="false" ht="15" hidden="false" customHeight="false" outlineLevel="0" collapsed="false">
      <c r="A49" s="14" t="n">
        <v>18</v>
      </c>
      <c r="B49" s="57" t="n">
        <f aca="false">EDATE($B$12,A49)</f>
        <v>46569</v>
      </c>
      <c r="C49" s="27" t="n">
        <f aca="false">$B$13</f>
        <v>2075.51390901829</v>
      </c>
      <c r="D49" s="27" t="n">
        <f aca="false">C49-E49</f>
        <v>303.07950770963</v>
      </c>
      <c r="E49" s="27" t="n">
        <f aca="false">F48*$B$10</f>
        <v>1772.43440130866</v>
      </c>
      <c r="F49" s="27" t="n">
        <f aca="false">MAX(0,F48-D49)</f>
        <v>314796.36961383</v>
      </c>
    </row>
    <row r="50" customFormat="false" ht="15" hidden="false" customHeight="false" outlineLevel="0" collapsed="false">
      <c r="A50" s="14" t="n">
        <v>19</v>
      </c>
      <c r="B50" s="57" t="n">
        <f aca="false">EDATE($B$12,A50)</f>
        <v>46600</v>
      </c>
      <c r="C50" s="27" t="n">
        <f aca="false">$B$13</f>
        <v>2075.51390901829</v>
      </c>
      <c r="D50" s="27" t="n">
        <f aca="false">C50-E50</f>
        <v>304.784329940497</v>
      </c>
      <c r="E50" s="27" t="n">
        <f aca="false">F49*$B$10</f>
        <v>1770.72957907779</v>
      </c>
      <c r="F50" s="27" t="n">
        <f aca="false">MAX(0,F49-D50)</f>
        <v>314491.585283889</v>
      </c>
    </row>
    <row r="51" customFormat="false" ht="15" hidden="false" customHeight="false" outlineLevel="0" collapsed="false">
      <c r="A51" s="14" t="n">
        <v>20</v>
      </c>
      <c r="B51" s="57" t="n">
        <f aca="false">EDATE($B$12,A51)</f>
        <v>46631</v>
      </c>
      <c r="C51" s="27" t="n">
        <f aca="false">$B$13</f>
        <v>2075.51390901829</v>
      </c>
      <c r="D51" s="27" t="n">
        <f aca="false">C51-E51</f>
        <v>306.498741796412</v>
      </c>
      <c r="E51" s="27" t="n">
        <f aca="false">F50*$B$10</f>
        <v>1769.01516722188</v>
      </c>
      <c r="F51" s="27" t="n">
        <f aca="false">MAX(0,F50-D51)</f>
        <v>314185.086542093</v>
      </c>
    </row>
    <row r="52" customFormat="false" ht="15" hidden="false" customHeight="false" outlineLevel="0" collapsed="false">
      <c r="A52" s="14" t="n">
        <v>21</v>
      </c>
      <c r="B52" s="57" t="n">
        <f aca="false">EDATE($B$12,A52)</f>
        <v>46661</v>
      </c>
      <c r="C52" s="27" t="n">
        <f aca="false">$B$13</f>
        <v>2075.51390901829</v>
      </c>
      <c r="D52" s="27" t="n">
        <f aca="false">C52-E52</f>
        <v>308.222797219017</v>
      </c>
      <c r="E52" s="27" t="n">
        <f aca="false">F51*$B$10</f>
        <v>1767.29111179927</v>
      </c>
      <c r="F52" s="27" t="n">
        <f aca="false">MAX(0,F51-D52)</f>
        <v>313876.863744874</v>
      </c>
    </row>
    <row r="53" customFormat="false" ht="15" hidden="false" customHeight="false" outlineLevel="0" collapsed="false">
      <c r="A53" s="14" t="n">
        <v>22</v>
      </c>
      <c r="B53" s="57" t="n">
        <f aca="false">EDATE($B$12,A53)</f>
        <v>46692</v>
      </c>
      <c r="C53" s="27" t="n">
        <f aca="false">$B$13</f>
        <v>2075.51390901829</v>
      </c>
      <c r="D53" s="27" t="n">
        <f aca="false">C53-E53</f>
        <v>309.956550453374</v>
      </c>
      <c r="E53" s="27" t="n">
        <f aca="false">F52*$B$10</f>
        <v>1765.55735856492</v>
      </c>
      <c r="F53" s="27" t="n">
        <f aca="false">MAX(0,F52-D53)</f>
        <v>313566.90719442</v>
      </c>
    </row>
    <row r="54" customFormat="false" ht="15" hidden="false" customHeight="false" outlineLevel="0" collapsed="false">
      <c r="A54" s="14" t="n">
        <v>23</v>
      </c>
      <c r="B54" s="57" t="n">
        <f aca="false">EDATE($B$12,A54)</f>
        <v>46722</v>
      </c>
      <c r="C54" s="27" t="n">
        <f aca="false">$B$13</f>
        <v>2075.51390901829</v>
      </c>
      <c r="D54" s="27" t="n">
        <f aca="false">C54-E54</f>
        <v>311.700056049674</v>
      </c>
      <c r="E54" s="27" t="n">
        <f aca="false">F53*$B$10</f>
        <v>1763.81385296861</v>
      </c>
      <c r="F54" s="27" t="n">
        <f aca="false">MAX(0,F53-D54)</f>
        <v>313255.207138371</v>
      </c>
    </row>
    <row r="55" customFormat="false" ht="15" hidden="false" customHeight="false" outlineLevel="0" collapsed="false">
      <c r="A55" s="14" t="n">
        <v>24</v>
      </c>
      <c r="B55" s="57" t="n">
        <f aca="false">EDATE($B$12,A55)</f>
        <v>46753</v>
      </c>
      <c r="C55" s="27" t="n">
        <f aca="false">$B$13</f>
        <v>2075.51390901829</v>
      </c>
      <c r="D55" s="27" t="n">
        <f aca="false">C55-E55</f>
        <v>313.453368864954</v>
      </c>
      <c r="E55" s="27" t="n">
        <f aca="false">F54*$B$10</f>
        <v>1762.06054015334</v>
      </c>
      <c r="F55" s="27" t="n">
        <f aca="false">MAX(0,F54-D55)</f>
        <v>312941.753769506</v>
      </c>
    </row>
    <row r="56" customFormat="false" ht="15" hidden="false" customHeight="false" outlineLevel="0" collapsed="false">
      <c r="A56" s="14" t="n">
        <v>25</v>
      </c>
      <c r="B56" s="57" t="n">
        <f aca="false">EDATE($B$12,A56)</f>
        <v>46784</v>
      </c>
      <c r="C56" s="27" t="n">
        <f aca="false">$B$13</f>
        <v>2075.51390901829</v>
      </c>
      <c r="D56" s="27" t="n">
        <f aca="false">C56-E56</f>
        <v>315.216544064819</v>
      </c>
      <c r="E56" s="27" t="n">
        <f aca="false">F55*$B$10</f>
        <v>1760.29736495347</v>
      </c>
      <c r="F56" s="27" t="n">
        <f aca="false">MAX(0,F55-D56)</f>
        <v>312626.537225441</v>
      </c>
    </row>
    <row r="57" customFormat="false" ht="15" hidden="false" customHeight="false" outlineLevel="0" collapsed="false">
      <c r="A57" s="14" t="n">
        <v>26</v>
      </c>
      <c r="B57" s="57" t="n">
        <f aca="false">EDATE($B$12,A57)</f>
        <v>46813</v>
      </c>
      <c r="C57" s="27" t="n">
        <f aca="false">$B$13</f>
        <v>2075.51390901829</v>
      </c>
      <c r="D57" s="27" t="n">
        <f aca="false">C57-E57</f>
        <v>316.989637125183</v>
      </c>
      <c r="E57" s="27" t="n">
        <f aca="false">F56*$B$10</f>
        <v>1758.52427189311</v>
      </c>
      <c r="F57" s="27" t="n">
        <f aca="false">MAX(0,F56-D57)</f>
        <v>312309.547588316</v>
      </c>
    </row>
    <row r="58" customFormat="false" ht="15" hidden="false" customHeight="false" outlineLevel="0" collapsed="false">
      <c r="A58" s="14" t="n">
        <v>27</v>
      </c>
      <c r="B58" s="57" t="n">
        <f aca="false">EDATE($B$12,A58)</f>
        <v>46844</v>
      </c>
      <c r="C58" s="27" t="n">
        <f aca="false">$B$13</f>
        <v>2075.51390901829</v>
      </c>
      <c r="D58" s="27" t="n">
        <f aca="false">C58-E58</f>
        <v>318.772703834013</v>
      </c>
      <c r="E58" s="27" t="n">
        <f aca="false">F57*$B$10</f>
        <v>1756.74120518428</v>
      </c>
      <c r="F58" s="27" t="n">
        <f aca="false">MAX(0,F57-D58)</f>
        <v>311990.774884482</v>
      </c>
    </row>
    <row r="59" customFormat="false" ht="15" hidden="false" customHeight="false" outlineLevel="0" collapsed="false">
      <c r="A59" s="14" t="n">
        <v>28</v>
      </c>
      <c r="B59" s="57" t="n">
        <f aca="false">EDATE($B$12,A59)</f>
        <v>46874</v>
      </c>
      <c r="C59" s="27" t="n">
        <f aca="false">$B$13</f>
        <v>2075.51390901829</v>
      </c>
      <c r="D59" s="27" t="n">
        <f aca="false">C59-E59</f>
        <v>320.565800293079</v>
      </c>
      <c r="E59" s="27" t="n">
        <f aca="false">F58*$B$10</f>
        <v>1754.94810872521</v>
      </c>
      <c r="F59" s="27" t="n">
        <f aca="false">MAX(0,F58-D59)</f>
        <v>311670.209084189</v>
      </c>
    </row>
    <row r="60" customFormat="false" ht="15" hidden="false" customHeight="false" outlineLevel="0" collapsed="false">
      <c r="A60" s="14" t="n">
        <v>29</v>
      </c>
      <c r="B60" s="57" t="n">
        <f aca="false">EDATE($B$12,A60)</f>
        <v>46905</v>
      </c>
      <c r="C60" s="27" t="n">
        <f aca="false">$B$13</f>
        <v>2075.51390901829</v>
      </c>
      <c r="D60" s="27" t="n">
        <f aca="false">C60-E60</f>
        <v>322.368982919727</v>
      </c>
      <c r="E60" s="27" t="n">
        <f aca="false">F59*$B$10</f>
        <v>1753.14492609856</v>
      </c>
      <c r="F60" s="27" t="n">
        <f aca="false">MAX(0,F59-D60)</f>
        <v>311347.840101269</v>
      </c>
    </row>
    <row r="61" customFormat="false" ht="15" hidden="false" customHeight="false" outlineLevel="0" collapsed="false">
      <c r="A61" s="14" t="n">
        <v>30</v>
      </c>
      <c r="B61" s="57" t="n">
        <f aca="false">EDATE($B$12,A61)</f>
        <v>46935</v>
      </c>
      <c r="C61" s="27" t="n">
        <f aca="false">$B$13</f>
        <v>2075.51390901829</v>
      </c>
      <c r="D61" s="27" t="n">
        <f aca="false">C61-E61</f>
        <v>324.182308448651</v>
      </c>
      <c r="E61" s="27" t="n">
        <f aca="false">F60*$B$10</f>
        <v>1751.33160056964</v>
      </c>
      <c r="F61" s="27" t="n">
        <f aca="false">MAX(0,F60-D61)</f>
        <v>311023.65779282</v>
      </c>
    </row>
    <row r="62" customFormat="false" ht="15" hidden="false" customHeight="false" outlineLevel="0" collapsed="false">
      <c r="A62" s="14" t="n">
        <v>31</v>
      </c>
      <c r="B62" s="57" t="n">
        <f aca="false">EDATE($B$12,A62)</f>
        <v>46966</v>
      </c>
      <c r="C62" s="27" t="n">
        <f aca="false">$B$13</f>
        <v>2075.51390901829</v>
      </c>
      <c r="D62" s="27" t="n">
        <f aca="false">C62-E62</f>
        <v>326.005833933674</v>
      </c>
      <c r="E62" s="27" t="n">
        <f aca="false">F61*$B$10</f>
        <v>1749.50807508461</v>
      </c>
      <c r="F62" s="27" t="n">
        <f aca="false">MAX(0,F61-D62)</f>
        <v>310697.651958887</v>
      </c>
    </row>
    <row r="63" customFormat="false" ht="15" hidden="false" customHeight="false" outlineLevel="0" collapsed="false">
      <c r="A63" s="14" t="n">
        <v>32</v>
      </c>
      <c r="B63" s="57" t="n">
        <f aca="false">EDATE($B$12,A63)</f>
        <v>46997</v>
      </c>
      <c r="C63" s="27" t="n">
        <f aca="false">$B$13</f>
        <v>2075.51390901829</v>
      </c>
      <c r="D63" s="27" t="n">
        <f aca="false">C63-E63</f>
        <v>327.839616749551</v>
      </c>
      <c r="E63" s="27" t="n">
        <f aca="false">F62*$B$10</f>
        <v>1747.67429226874</v>
      </c>
      <c r="F63" s="27" t="n">
        <f aca="false">MAX(0,F62-D63)</f>
        <v>310369.812342137</v>
      </c>
    </row>
    <row r="64" customFormat="false" ht="15" hidden="false" customHeight="false" outlineLevel="0" collapsed="false">
      <c r="A64" s="14" t="n">
        <v>33</v>
      </c>
      <c r="B64" s="57" t="n">
        <f aca="false">EDATE($B$12,A64)</f>
        <v>47027</v>
      </c>
      <c r="C64" s="27" t="n">
        <f aca="false">$B$13</f>
        <v>2075.51390901829</v>
      </c>
      <c r="D64" s="27" t="n">
        <f aca="false">C64-E64</f>
        <v>329.683714593768</v>
      </c>
      <c r="E64" s="27" t="n">
        <f aca="false">F63*$B$10</f>
        <v>1745.83019442452</v>
      </c>
      <c r="F64" s="27" t="n">
        <f aca="false">MAX(0,F63-D64)</f>
        <v>310040.128627543</v>
      </c>
    </row>
    <row r="65" customFormat="false" ht="15" hidden="false" customHeight="false" outlineLevel="0" collapsed="false">
      <c r="A65" s="14" t="n">
        <v>34</v>
      </c>
      <c r="B65" s="57" t="n">
        <f aca="false">EDATE($B$12,A65)</f>
        <v>47058</v>
      </c>
      <c r="C65" s="27" t="n">
        <f aca="false">$B$13</f>
        <v>2075.51390901829</v>
      </c>
      <c r="D65" s="27" t="n">
        <f aca="false">C65-E65</f>
        <v>331.538185488357</v>
      </c>
      <c r="E65" s="27" t="n">
        <f aca="false">F64*$B$10</f>
        <v>1743.97572352993</v>
      </c>
      <c r="F65" s="27" t="n">
        <f aca="false">MAX(0,F64-D65)</f>
        <v>309708.590442055</v>
      </c>
    </row>
    <row r="66" customFormat="false" ht="15" hidden="false" customHeight="false" outlineLevel="0" collapsed="false">
      <c r="A66" s="14" t="n">
        <v>35</v>
      </c>
      <c r="B66" s="57" t="n">
        <f aca="false">EDATE($B$12,A66)</f>
        <v>47088</v>
      </c>
      <c r="C66" s="27" t="n">
        <f aca="false">$B$13</f>
        <v>2075.51390901829</v>
      </c>
      <c r="D66" s="27" t="n">
        <f aca="false">C66-E66</f>
        <v>333.40308778173</v>
      </c>
      <c r="E66" s="27" t="n">
        <f aca="false">F65*$B$10</f>
        <v>1742.11082123656</v>
      </c>
      <c r="F66" s="27" t="n">
        <f aca="false">MAX(0,F65-D66)</f>
        <v>309375.187354273</v>
      </c>
    </row>
    <row r="67" customFormat="false" ht="15" hidden="false" customHeight="false" outlineLevel="0" collapsed="false">
      <c r="A67" s="14" t="n">
        <v>36</v>
      </c>
      <c r="B67" s="57" t="n">
        <f aca="false">EDATE($B$12,A67)</f>
        <v>47119</v>
      </c>
      <c r="C67" s="27" t="n">
        <f aca="false">$B$13</f>
        <v>2075.51390901829</v>
      </c>
      <c r="D67" s="27" t="n">
        <f aca="false">C67-E67</f>
        <v>335.278480150502</v>
      </c>
      <c r="E67" s="27" t="n">
        <f aca="false">F66*$B$10</f>
        <v>1740.23542886779</v>
      </c>
      <c r="F67" s="27" t="n">
        <f aca="false">MAX(0,F66-D67)</f>
        <v>309039.908874123</v>
      </c>
    </row>
    <row r="68" customFormat="false" ht="15" hidden="false" customHeight="false" outlineLevel="0" collapsed="false">
      <c r="A68" s="14" t="n">
        <v>37</v>
      </c>
      <c r="B68" s="57" t="n">
        <f aca="false">EDATE($B$12,A68)</f>
        <v>47150</v>
      </c>
      <c r="C68" s="27" t="n">
        <f aca="false">$B$13</f>
        <v>2075.51390901829</v>
      </c>
      <c r="D68" s="27" t="n">
        <f aca="false">C68-E68</f>
        <v>337.164421601348</v>
      </c>
      <c r="E68" s="27" t="n">
        <f aca="false">F67*$B$10</f>
        <v>1738.34948741694</v>
      </c>
      <c r="F68" s="27" t="n">
        <f aca="false">MAX(0,F67-D68)</f>
        <v>308702.744452521</v>
      </c>
    </row>
    <row r="69" customFormat="false" ht="15" hidden="false" customHeight="false" outlineLevel="0" collapsed="false">
      <c r="A69" s="14" t="n">
        <v>38</v>
      </c>
      <c r="B69" s="57" t="n">
        <f aca="false">EDATE($B$12,A69)</f>
        <v>47178</v>
      </c>
      <c r="C69" s="27" t="n">
        <f aca="false">$B$13</f>
        <v>2075.51390901829</v>
      </c>
      <c r="D69" s="27" t="n">
        <f aca="false">C69-E69</f>
        <v>339.060971472856</v>
      </c>
      <c r="E69" s="27" t="n">
        <f aca="false">F68*$B$10</f>
        <v>1736.45293754543</v>
      </c>
      <c r="F69" s="27" t="n">
        <f aca="false">MAX(0,F68-D69)</f>
        <v>308363.683481049</v>
      </c>
    </row>
    <row r="70" customFormat="false" ht="15" hidden="false" customHeight="false" outlineLevel="0" collapsed="false">
      <c r="A70" s="14" t="n">
        <v>39</v>
      </c>
      <c r="B70" s="57" t="n">
        <f aca="false">EDATE($B$12,A70)</f>
        <v>47209</v>
      </c>
      <c r="C70" s="27" t="n">
        <f aca="false">$B$13</f>
        <v>2075.51390901829</v>
      </c>
      <c r="D70" s="27" t="n">
        <f aca="false">C70-E70</f>
        <v>340.968189437391</v>
      </c>
      <c r="E70" s="27" t="n">
        <f aca="false">F69*$B$10</f>
        <v>1734.5457195809</v>
      </c>
      <c r="F70" s="27" t="n">
        <f aca="false">MAX(0,F69-D70)</f>
        <v>308022.715291611</v>
      </c>
    </row>
    <row r="71" customFormat="false" ht="15" hidden="false" customHeight="false" outlineLevel="0" collapsed="false">
      <c r="A71" s="14" t="n">
        <v>40</v>
      </c>
      <c r="B71" s="57" t="n">
        <f aca="false">EDATE($B$12,A71)</f>
        <v>47239</v>
      </c>
      <c r="C71" s="27" t="n">
        <f aca="false">$B$13</f>
        <v>2075.51390901829</v>
      </c>
      <c r="D71" s="27" t="n">
        <f aca="false">C71-E71</f>
        <v>342.886135502976</v>
      </c>
      <c r="E71" s="27" t="n">
        <f aca="false">F70*$B$10</f>
        <v>1732.62777351531</v>
      </c>
      <c r="F71" s="27" t="n">
        <f aca="false">MAX(0,F70-D71)</f>
        <v>307679.829156108</v>
      </c>
    </row>
    <row r="72" customFormat="false" ht="15" hidden="false" customHeight="false" outlineLevel="0" collapsed="false">
      <c r="A72" s="14" t="n">
        <v>41</v>
      </c>
      <c r="B72" s="57" t="n">
        <f aca="false">EDATE($B$12,A72)</f>
        <v>47270</v>
      </c>
      <c r="C72" s="27" t="n">
        <f aca="false">$B$13</f>
        <v>2075.51390901829</v>
      </c>
      <c r="D72" s="27" t="n">
        <f aca="false">C72-E72</f>
        <v>344.81487001518</v>
      </c>
      <c r="E72" s="27" t="n">
        <f aca="false">F71*$B$10</f>
        <v>1730.69903900311</v>
      </c>
      <c r="F72" s="27" t="n">
        <f aca="false">MAX(0,F71-D72)</f>
        <v>307335.014286093</v>
      </c>
    </row>
    <row r="73" customFormat="false" ht="15" hidden="false" customHeight="false" outlineLevel="0" collapsed="false">
      <c r="A73" s="14" t="n">
        <v>42</v>
      </c>
      <c r="B73" s="57" t="n">
        <f aca="false">EDATE($B$12,A73)</f>
        <v>47300</v>
      </c>
      <c r="C73" s="27" t="n">
        <f aca="false">$B$13</f>
        <v>2075.51390901829</v>
      </c>
      <c r="D73" s="27" t="n">
        <f aca="false">C73-E73</f>
        <v>346.754453659016</v>
      </c>
      <c r="E73" s="27" t="n">
        <f aca="false">F72*$B$10</f>
        <v>1728.75945535927</v>
      </c>
      <c r="F73" s="27" t="n">
        <f aca="false">MAX(0,F72-D73)</f>
        <v>306988.259832434</v>
      </c>
    </row>
    <row r="74" customFormat="false" ht="15" hidden="false" customHeight="false" outlineLevel="0" collapsed="false">
      <c r="A74" s="14" t="n">
        <v>43</v>
      </c>
      <c r="B74" s="57" t="n">
        <f aca="false">EDATE($B$12,A74)</f>
        <v>47331</v>
      </c>
      <c r="C74" s="27" t="n">
        <f aca="false">$B$13</f>
        <v>2075.51390901829</v>
      </c>
      <c r="D74" s="27" t="n">
        <f aca="false">C74-E74</f>
        <v>348.704947460848</v>
      </c>
      <c r="E74" s="27" t="n">
        <f aca="false">F73*$B$10</f>
        <v>1726.80896155744</v>
      </c>
      <c r="F74" s="27" t="n">
        <f aca="false">MAX(0,F73-D74)</f>
        <v>306639.554884973</v>
      </c>
    </row>
    <row r="75" customFormat="false" ht="15" hidden="false" customHeight="false" outlineLevel="0" collapsed="false">
      <c r="A75" s="14" t="n">
        <v>44</v>
      </c>
      <c r="B75" s="57" t="n">
        <f aca="false">EDATE($B$12,A75)</f>
        <v>47362</v>
      </c>
      <c r="C75" s="27" t="n">
        <f aca="false">$B$13</f>
        <v>2075.51390901829</v>
      </c>
      <c r="D75" s="27" t="n">
        <f aca="false">C75-E75</f>
        <v>350.666412790315</v>
      </c>
      <c r="E75" s="27" t="n">
        <f aca="false">F74*$B$10</f>
        <v>1724.84749622797</v>
      </c>
      <c r="F75" s="27" t="n">
        <f aca="false">MAX(0,F74-D75)</f>
        <v>306288.888472183</v>
      </c>
    </row>
    <row r="76" customFormat="false" ht="15" hidden="false" customHeight="false" outlineLevel="0" collapsed="false">
      <c r="A76" s="14" t="n">
        <v>45</v>
      </c>
      <c r="B76" s="57" t="n">
        <f aca="false">EDATE($B$12,A76)</f>
        <v>47392</v>
      </c>
      <c r="C76" s="27" t="n">
        <f aca="false">$B$13</f>
        <v>2075.51390901829</v>
      </c>
      <c r="D76" s="27" t="n">
        <f aca="false">C76-E76</f>
        <v>352.63891136226</v>
      </c>
      <c r="E76" s="27" t="n">
        <f aca="false">F75*$B$10</f>
        <v>1722.87499765603</v>
      </c>
      <c r="F76" s="27" t="n">
        <f aca="false">MAX(0,F75-D76)</f>
        <v>305936.249560821</v>
      </c>
    </row>
    <row r="77" customFormat="false" ht="15" hidden="false" customHeight="false" outlineLevel="0" collapsed="false">
      <c r="A77" s="14" t="n">
        <v>46</v>
      </c>
      <c r="B77" s="57" t="n">
        <f aca="false">EDATE($B$12,A77)</f>
        <v>47423</v>
      </c>
      <c r="C77" s="27" t="n">
        <f aca="false">$B$13</f>
        <v>2075.51390901829</v>
      </c>
      <c r="D77" s="27" t="n">
        <f aca="false">C77-E77</f>
        <v>354.622505238673</v>
      </c>
      <c r="E77" s="27" t="n">
        <f aca="false">F76*$B$10</f>
        <v>1720.89140377962</v>
      </c>
      <c r="F77" s="27" t="n">
        <f aca="false">MAX(0,F76-D77)</f>
        <v>305581.627055582</v>
      </c>
    </row>
    <row r="78" customFormat="false" ht="15" hidden="false" customHeight="false" outlineLevel="0" collapsed="false">
      <c r="A78" s="14" t="n">
        <v>47</v>
      </c>
      <c r="B78" s="57" t="n">
        <f aca="false">EDATE($B$12,A78)</f>
        <v>47453</v>
      </c>
      <c r="C78" s="27" t="n">
        <f aca="false">$B$13</f>
        <v>2075.51390901829</v>
      </c>
      <c r="D78" s="27" t="n">
        <f aca="false">C78-E78</f>
        <v>356.617256830641</v>
      </c>
      <c r="E78" s="27" t="n">
        <f aca="false">F77*$B$10</f>
        <v>1718.89665218765</v>
      </c>
      <c r="F78" s="27" t="n">
        <f aca="false">MAX(0,F77-D78)</f>
        <v>305225.009798751</v>
      </c>
    </row>
    <row r="79" customFormat="false" ht="15" hidden="false" customHeight="false" outlineLevel="0" collapsed="false">
      <c r="A79" s="14" t="n">
        <v>48</v>
      </c>
      <c r="B79" s="57" t="n">
        <f aca="false">EDATE($B$12,A79)</f>
        <v>47484</v>
      </c>
      <c r="C79" s="27" t="n">
        <f aca="false">$B$13</f>
        <v>2075.51390901829</v>
      </c>
      <c r="D79" s="27" t="n">
        <f aca="false">C79-E79</f>
        <v>358.623228900313</v>
      </c>
      <c r="E79" s="27" t="n">
        <f aca="false">F78*$B$10</f>
        <v>1716.89068011798</v>
      </c>
      <c r="F79" s="27" t="n">
        <f aca="false">MAX(0,F78-D79)</f>
        <v>304866.386569851</v>
      </c>
    </row>
    <row r="80" customFormat="false" ht="15" hidden="false" customHeight="false" outlineLevel="0" collapsed="false">
      <c r="A80" s="14" t="n">
        <v>49</v>
      </c>
      <c r="B80" s="57" t="n">
        <f aca="false">EDATE($B$12,A80)</f>
        <v>47515</v>
      </c>
      <c r="C80" s="27" t="n">
        <f aca="false">$B$13</f>
        <v>2075.51390901829</v>
      </c>
      <c r="D80" s="27" t="n">
        <f aca="false">C80-E80</f>
        <v>360.640484562877</v>
      </c>
      <c r="E80" s="27" t="n">
        <f aca="false">F79*$B$10</f>
        <v>1714.87342445541</v>
      </c>
      <c r="F80" s="27" t="n">
        <f aca="false">MAX(0,F79-D80)</f>
        <v>304505.746085288</v>
      </c>
    </row>
    <row r="81" customFormat="false" ht="15" hidden="false" customHeight="false" outlineLevel="0" collapsed="false">
      <c r="A81" s="14" t="n">
        <v>50</v>
      </c>
      <c r="B81" s="57" t="n">
        <f aca="false">EDATE($B$12,A81)</f>
        <v>47543</v>
      </c>
      <c r="C81" s="27" t="n">
        <f aca="false">$B$13</f>
        <v>2075.51390901829</v>
      </c>
      <c r="D81" s="27" t="n">
        <f aca="false">C81-E81</f>
        <v>362.669087288544</v>
      </c>
      <c r="E81" s="27" t="n">
        <f aca="false">F80*$B$10</f>
        <v>1712.84482172975</v>
      </c>
      <c r="F81" s="27" t="n">
        <f aca="false">MAX(0,F80-D81)</f>
        <v>304143.076997999</v>
      </c>
    </row>
    <row r="82" customFormat="false" ht="15" hidden="false" customHeight="false" outlineLevel="0" collapsed="false">
      <c r="A82" s="14" t="n">
        <v>51</v>
      </c>
      <c r="B82" s="57" t="n">
        <f aca="false">EDATE($B$12,A82)</f>
        <v>47574</v>
      </c>
      <c r="C82" s="27" t="n">
        <f aca="false">$B$13</f>
        <v>2075.51390901829</v>
      </c>
      <c r="D82" s="27" t="n">
        <f aca="false">C82-E82</f>
        <v>364.709100904542</v>
      </c>
      <c r="E82" s="27" t="n">
        <f aca="false">F81*$B$10</f>
        <v>1710.80480811375</v>
      </c>
      <c r="F82" s="27" t="n">
        <f aca="false">MAX(0,F81-D82)</f>
        <v>303778.367897095</v>
      </c>
    </row>
    <row r="83" customFormat="false" ht="15" hidden="false" customHeight="false" outlineLevel="0" collapsed="false">
      <c r="A83" s="14" t="n">
        <v>52</v>
      </c>
      <c r="B83" s="57" t="n">
        <f aca="false">EDATE($B$12,A83)</f>
        <v>47604</v>
      </c>
      <c r="C83" s="27" t="n">
        <f aca="false">$B$13</f>
        <v>2075.51390901829</v>
      </c>
      <c r="D83" s="27" t="n">
        <f aca="false">C83-E83</f>
        <v>366.76058959713</v>
      </c>
      <c r="E83" s="27" t="n">
        <f aca="false">F82*$B$10</f>
        <v>1708.75331942116</v>
      </c>
      <c r="F83" s="27" t="n">
        <f aca="false">MAX(0,F82-D83)</f>
        <v>303411.607307498</v>
      </c>
    </row>
    <row r="84" customFormat="false" ht="15" hidden="false" customHeight="false" outlineLevel="0" collapsed="false">
      <c r="A84" s="14" t="n">
        <v>53</v>
      </c>
      <c r="B84" s="57" t="n">
        <f aca="false">EDATE($B$12,A84)</f>
        <v>47635</v>
      </c>
      <c r="C84" s="27" t="n">
        <f aca="false">$B$13</f>
        <v>2075.51390901829</v>
      </c>
      <c r="D84" s="27" t="n">
        <f aca="false">C84-E84</f>
        <v>368.823617913613</v>
      </c>
      <c r="E84" s="27" t="n">
        <f aca="false">F83*$B$10</f>
        <v>1706.69029110468</v>
      </c>
      <c r="F84" s="27" t="n">
        <f aca="false">MAX(0,F83-D84)</f>
        <v>303042.783689584</v>
      </c>
    </row>
    <row r="85" customFormat="false" ht="15" hidden="false" customHeight="false" outlineLevel="0" collapsed="false">
      <c r="A85" s="14" t="n">
        <v>54</v>
      </c>
      <c r="B85" s="57" t="n">
        <f aca="false">EDATE($B$12,A85)</f>
        <v>47665</v>
      </c>
      <c r="C85" s="27" t="n">
        <f aca="false">$B$13</f>
        <v>2075.51390901829</v>
      </c>
      <c r="D85" s="27" t="n">
        <f aca="false">C85-E85</f>
        <v>370.898250764377</v>
      </c>
      <c r="E85" s="27" t="n">
        <f aca="false">F84*$B$10</f>
        <v>1704.61565825391</v>
      </c>
      <c r="F85" s="27" t="n">
        <f aca="false">MAX(0,F84-D85)</f>
        <v>302671.88543882</v>
      </c>
    </row>
    <row r="86" customFormat="false" ht="15" hidden="false" customHeight="false" outlineLevel="0" collapsed="false">
      <c r="A86" s="14" t="n">
        <v>55</v>
      </c>
      <c r="B86" s="57" t="n">
        <f aca="false">EDATE($B$12,A86)</f>
        <v>47696</v>
      </c>
      <c r="C86" s="27" t="n">
        <f aca="false">$B$13</f>
        <v>2075.51390901829</v>
      </c>
      <c r="D86" s="27" t="n">
        <f aca="false">C86-E86</f>
        <v>372.984553424927</v>
      </c>
      <c r="E86" s="27" t="n">
        <f aca="false">F85*$B$10</f>
        <v>1702.52935559336</v>
      </c>
      <c r="F86" s="27" t="n">
        <f aca="false">MAX(0,F85-D86)</f>
        <v>302298.900885395</v>
      </c>
    </row>
    <row r="87" customFormat="false" ht="15" hidden="false" customHeight="false" outlineLevel="0" collapsed="false">
      <c r="A87" s="14" t="n">
        <v>56</v>
      </c>
      <c r="B87" s="57" t="n">
        <f aca="false">EDATE($B$12,A87)</f>
        <v>47727</v>
      </c>
      <c r="C87" s="27" t="n">
        <f aca="false">$B$13</f>
        <v>2075.51390901829</v>
      </c>
      <c r="D87" s="27" t="n">
        <f aca="false">C87-E87</f>
        <v>375.082591537942</v>
      </c>
      <c r="E87" s="27" t="n">
        <f aca="false">F86*$B$10</f>
        <v>1700.43131748035</v>
      </c>
      <c r="F87" s="27" t="n">
        <f aca="false">MAX(0,F86-D87)</f>
        <v>301923.818293857</v>
      </c>
    </row>
    <row r="88" customFormat="false" ht="15" hidden="false" customHeight="false" outlineLevel="0" collapsed="false">
      <c r="A88" s="14" t="n">
        <v>57</v>
      </c>
      <c r="B88" s="57" t="n">
        <f aca="false">EDATE($B$12,A88)</f>
        <v>47757</v>
      </c>
      <c r="C88" s="27" t="n">
        <f aca="false">$B$13</f>
        <v>2075.51390901829</v>
      </c>
      <c r="D88" s="27" t="n">
        <f aca="false">C88-E88</f>
        <v>377.192431115343</v>
      </c>
      <c r="E88" s="27" t="n">
        <f aca="false">F87*$B$10</f>
        <v>1698.32147790295</v>
      </c>
      <c r="F88" s="27" t="n">
        <f aca="false">MAX(0,F87-D88)</f>
        <v>301546.625862742</v>
      </c>
    </row>
    <row r="89" customFormat="false" ht="15" hidden="false" customHeight="false" outlineLevel="0" collapsed="false">
      <c r="A89" s="14" t="n">
        <v>58</v>
      </c>
      <c r="B89" s="57" t="n">
        <f aca="false">EDATE($B$12,A89)</f>
        <v>47788</v>
      </c>
      <c r="C89" s="27" t="n">
        <f aca="false">$B$13</f>
        <v>2075.51390901829</v>
      </c>
      <c r="D89" s="27" t="n">
        <f aca="false">C89-E89</f>
        <v>379.314138540367</v>
      </c>
      <c r="E89" s="27" t="n">
        <f aca="false">F88*$B$10</f>
        <v>1696.19977047792</v>
      </c>
      <c r="F89" s="27" t="n">
        <f aca="false">MAX(0,F88-D89)</f>
        <v>301167.311724201</v>
      </c>
    </row>
    <row r="90" customFormat="false" ht="15" hidden="false" customHeight="false" outlineLevel="0" collapsed="false">
      <c r="A90" s="14" t="n">
        <v>59</v>
      </c>
      <c r="B90" s="57" t="n">
        <f aca="false">EDATE($B$12,A90)</f>
        <v>47818</v>
      </c>
      <c r="C90" s="27" t="n">
        <f aca="false">$B$13</f>
        <v>2075.51390901829</v>
      </c>
      <c r="D90" s="27" t="n">
        <f aca="false">C90-E90</f>
        <v>381.447780569657</v>
      </c>
      <c r="E90" s="27" t="n">
        <f aca="false">F89*$B$10</f>
        <v>1694.06612844863</v>
      </c>
      <c r="F90" s="27" t="n">
        <f aca="false">MAX(0,F89-D90)</f>
        <v>300785.863943632</v>
      </c>
    </row>
    <row r="91" customFormat="false" ht="15" hidden="false" customHeight="false" outlineLevel="0" collapsed="false">
      <c r="A91" s="14" t="n">
        <v>60</v>
      </c>
      <c r="B91" s="57" t="n">
        <f aca="false">EDATE($B$12,A91)</f>
        <v>47849</v>
      </c>
      <c r="C91" s="27" t="n">
        <f aca="false">$B$13</f>
        <v>2075.51390901829</v>
      </c>
      <c r="D91" s="27" t="n">
        <f aca="false">C91-E91</f>
        <v>383.593424335361</v>
      </c>
      <c r="E91" s="27" t="n">
        <f aca="false">F90*$B$10</f>
        <v>1691.92048468293</v>
      </c>
      <c r="F91" s="27" t="n">
        <f aca="false">MAX(0,F90-D91)</f>
        <v>300402.270519296</v>
      </c>
    </row>
    <row r="92" customFormat="false" ht="15" hidden="false" customHeight="false" outlineLevel="0" collapsed="false">
      <c r="A92" s="14" t="n">
        <v>61</v>
      </c>
      <c r="B92" s="57" t="n">
        <f aca="false">EDATE($B$12,A92)</f>
        <v>47880</v>
      </c>
      <c r="C92" s="27" t="n">
        <f aca="false">$B$13</f>
        <v>2075.51390901829</v>
      </c>
      <c r="D92" s="27" t="n">
        <f aca="false">C92-E92</f>
        <v>385.751137347247</v>
      </c>
      <c r="E92" s="27" t="n">
        <f aca="false">F91*$B$10</f>
        <v>1689.76277167104</v>
      </c>
      <c r="F92" s="27" t="n">
        <f aca="false">MAX(0,F91-D92)</f>
        <v>300016.519381949</v>
      </c>
    </row>
    <row r="93" customFormat="false" ht="15" hidden="false" customHeight="false" outlineLevel="0" collapsed="false">
      <c r="A93" s="14" t="n">
        <v>62</v>
      </c>
      <c r="B93" s="57" t="n">
        <f aca="false">EDATE($B$12,A93)</f>
        <v>47908</v>
      </c>
      <c r="C93" s="27" t="n">
        <f aca="false">$B$13</f>
        <v>2075.51390901829</v>
      </c>
      <c r="D93" s="27" t="n">
        <f aca="false">C93-E93</f>
        <v>387.920987494826</v>
      </c>
      <c r="E93" s="27" t="n">
        <f aca="false">F92*$B$10</f>
        <v>1687.59292152346</v>
      </c>
      <c r="F93" s="27" t="n">
        <f aca="false">MAX(0,F92-D93)</f>
        <v>299628.598394454</v>
      </c>
    </row>
    <row r="94" customFormat="false" ht="15" hidden="false" customHeight="false" outlineLevel="0" collapsed="false">
      <c r="A94" s="14" t="n">
        <v>63</v>
      </c>
      <c r="B94" s="57" t="n">
        <f aca="false">EDATE($B$12,A94)</f>
        <v>47939</v>
      </c>
      <c r="C94" s="27" t="n">
        <f aca="false">$B$13</f>
        <v>2075.51390901829</v>
      </c>
      <c r="D94" s="27" t="n">
        <f aca="false">C94-E94</f>
        <v>390.103043049484</v>
      </c>
      <c r="E94" s="27" t="n">
        <f aca="false">F93*$B$10</f>
        <v>1685.41086596881</v>
      </c>
      <c r="F94" s="27" t="n">
        <f aca="false">MAX(0,F93-D94)</f>
        <v>299238.495351405</v>
      </c>
    </row>
    <row r="95" customFormat="false" ht="15" hidden="false" customHeight="false" outlineLevel="0" collapsed="false">
      <c r="A95" s="14" t="n">
        <v>64</v>
      </c>
      <c r="B95" s="57" t="n">
        <f aca="false">EDATE($B$12,A95)</f>
        <v>47969</v>
      </c>
      <c r="C95" s="27" t="n">
        <f aca="false">$B$13</f>
        <v>2075.51390901829</v>
      </c>
      <c r="D95" s="27" t="n">
        <f aca="false">C95-E95</f>
        <v>392.297372666637</v>
      </c>
      <c r="E95" s="27" t="n">
        <f aca="false">F94*$B$10</f>
        <v>1683.21653635165</v>
      </c>
      <c r="F95" s="27" t="n">
        <f aca="false">MAX(0,F94-D95)</f>
        <v>298846.197978738</v>
      </c>
    </row>
    <row r="96" customFormat="false" ht="15" hidden="false" customHeight="false" outlineLevel="0" collapsed="false">
      <c r="A96" s="14" t="n">
        <v>65</v>
      </c>
      <c r="B96" s="57" t="n">
        <f aca="false">EDATE($B$12,A96)</f>
        <v>48000</v>
      </c>
      <c r="C96" s="27" t="n">
        <f aca="false">$B$13</f>
        <v>2075.51390901829</v>
      </c>
      <c r="D96" s="27" t="n">
        <f aca="false">C96-E96</f>
        <v>394.504045387887</v>
      </c>
      <c r="E96" s="27" t="n">
        <f aca="false">F95*$B$10</f>
        <v>1681.0098636304</v>
      </c>
      <c r="F96" s="27" t="n">
        <f aca="false">MAX(0,F95-D96)</f>
        <v>298451.69393335</v>
      </c>
    </row>
    <row r="97" customFormat="false" ht="15" hidden="false" customHeight="false" outlineLevel="0" collapsed="false">
      <c r="A97" s="14" t="n">
        <v>66</v>
      </c>
      <c r="B97" s="57" t="n">
        <f aca="false">EDATE($B$12,A97)</f>
        <v>48030</v>
      </c>
      <c r="C97" s="27" t="n">
        <f aca="false">$B$13</f>
        <v>2075.51390901829</v>
      </c>
      <c r="D97" s="27" t="n">
        <f aca="false">C97-E97</f>
        <v>396.723130643194</v>
      </c>
      <c r="E97" s="27" t="n">
        <f aca="false">F96*$B$10</f>
        <v>1678.79077837509</v>
      </c>
      <c r="F97" s="27" t="n">
        <f aca="false">MAX(0,F96-D97)</f>
        <v>298054.970802707</v>
      </c>
    </row>
    <row r="98" customFormat="false" ht="15" hidden="false" customHeight="false" outlineLevel="0" collapsed="false">
      <c r="A98" s="14" t="n">
        <v>67</v>
      </c>
      <c r="B98" s="57" t="n">
        <f aca="false">EDATE($B$12,A98)</f>
        <v>48061</v>
      </c>
      <c r="C98" s="27" t="n">
        <f aca="false">$B$13</f>
        <v>2075.51390901829</v>
      </c>
      <c r="D98" s="27" t="n">
        <f aca="false">C98-E98</f>
        <v>398.954698253062</v>
      </c>
      <c r="E98" s="27" t="n">
        <f aca="false">F97*$B$10</f>
        <v>1676.55921076523</v>
      </c>
      <c r="F98" s="27" t="n">
        <f aca="false">MAX(0,F97-D98)</f>
        <v>297656.016104454</v>
      </c>
    </row>
    <row r="99" customFormat="false" ht="15" hidden="false" customHeight="false" outlineLevel="0" collapsed="false">
      <c r="A99" s="14" t="n">
        <v>68</v>
      </c>
      <c r="B99" s="57" t="n">
        <f aca="false">EDATE($B$12,A99)</f>
        <v>48092</v>
      </c>
      <c r="C99" s="27" t="n">
        <f aca="false">$B$13</f>
        <v>2075.51390901829</v>
      </c>
      <c r="D99" s="27" t="n">
        <f aca="false">C99-E99</f>
        <v>401.198818430736</v>
      </c>
      <c r="E99" s="27" t="n">
        <f aca="false">F98*$B$10</f>
        <v>1674.31509058755</v>
      </c>
      <c r="F99" s="27" t="n">
        <f aca="false">MAX(0,F98-D99)</f>
        <v>297254.817286023</v>
      </c>
    </row>
    <row r="100" customFormat="false" ht="15" hidden="false" customHeight="false" outlineLevel="0" collapsed="false">
      <c r="A100" s="14" t="n">
        <v>69</v>
      </c>
      <c r="B100" s="57" t="n">
        <f aca="false">EDATE($B$12,A100)</f>
        <v>48122</v>
      </c>
      <c r="C100" s="27" t="n">
        <f aca="false">$B$13</f>
        <v>2075.51390901829</v>
      </c>
      <c r="D100" s="27" t="n">
        <f aca="false">C100-E100</f>
        <v>403.455561784408</v>
      </c>
      <c r="E100" s="27" t="n">
        <f aca="false">F99*$B$10</f>
        <v>1672.05834723388</v>
      </c>
      <c r="F100" s="27" t="n">
        <f aca="false">MAX(0,F99-D100)</f>
        <v>296851.361724239</v>
      </c>
    </row>
    <row r="101" customFormat="false" ht="15" hidden="false" customHeight="false" outlineLevel="0" collapsed="false">
      <c r="A101" s="14" t="n">
        <v>70</v>
      </c>
      <c r="B101" s="57" t="n">
        <f aca="false">EDATE($B$12,A101)</f>
        <v>48153</v>
      </c>
      <c r="C101" s="27" t="n">
        <f aca="false">$B$13</f>
        <v>2075.51390901829</v>
      </c>
      <c r="D101" s="27" t="n">
        <f aca="false">C101-E101</f>
        <v>405.724999319446</v>
      </c>
      <c r="E101" s="27" t="n">
        <f aca="false">F100*$B$10</f>
        <v>1669.78890969884</v>
      </c>
      <c r="F101" s="27" t="n">
        <f aca="false">MAX(0,F100-D101)</f>
        <v>296445.636724919</v>
      </c>
    </row>
    <row r="102" customFormat="false" ht="15" hidden="false" customHeight="false" outlineLevel="0" collapsed="false">
      <c r="A102" s="14" t="n">
        <v>71</v>
      </c>
      <c r="B102" s="57" t="n">
        <f aca="false">EDATE($B$12,A102)</f>
        <v>48183</v>
      </c>
      <c r="C102" s="27" t="n">
        <f aca="false">$B$13</f>
        <v>2075.51390901829</v>
      </c>
      <c r="D102" s="27" t="n">
        <f aca="false">C102-E102</f>
        <v>408.007202440617</v>
      </c>
      <c r="E102" s="27" t="n">
        <f aca="false">F101*$B$10</f>
        <v>1667.50670657767</v>
      </c>
      <c r="F102" s="27" t="n">
        <f aca="false">MAX(0,F101-D102)</f>
        <v>296037.629522479</v>
      </c>
    </row>
    <row r="103" customFormat="false" ht="15" hidden="false" customHeight="false" outlineLevel="0" collapsed="false">
      <c r="A103" s="14" t="n">
        <v>72</v>
      </c>
      <c r="B103" s="57" t="n">
        <f aca="false">EDATE($B$12,A103)</f>
        <v>48214</v>
      </c>
      <c r="C103" s="27" t="n">
        <f aca="false">$B$13</f>
        <v>2075.51390901829</v>
      </c>
      <c r="D103" s="27" t="n">
        <f aca="false">C103-E103</f>
        <v>410.302242954346</v>
      </c>
      <c r="E103" s="27" t="n">
        <f aca="false">F102*$B$10</f>
        <v>1665.21166606394</v>
      </c>
      <c r="F103" s="27" t="n">
        <f aca="false">MAX(0,F102-D103)</f>
        <v>295627.327279524</v>
      </c>
    </row>
    <row r="104" customFormat="false" ht="15" hidden="false" customHeight="false" outlineLevel="0" collapsed="false">
      <c r="A104" s="14" t="n">
        <v>73</v>
      </c>
      <c r="B104" s="57" t="n">
        <f aca="false">EDATE($B$12,A104)</f>
        <v>48245</v>
      </c>
      <c r="C104" s="27" t="n">
        <f aca="false">$B$13</f>
        <v>2075.51390901829</v>
      </c>
      <c r="D104" s="27" t="n">
        <f aca="false">C104-E104</f>
        <v>412.610193070964</v>
      </c>
      <c r="E104" s="27" t="n">
        <f aca="false">F103*$B$10</f>
        <v>1662.90371594732</v>
      </c>
      <c r="F104" s="27" t="n">
        <f aca="false">MAX(0,F103-D104)</f>
        <v>295214.717086453</v>
      </c>
    </row>
    <row r="105" customFormat="false" ht="15" hidden="false" customHeight="false" outlineLevel="0" collapsed="false">
      <c r="A105" s="14" t="n">
        <v>74</v>
      </c>
      <c r="B105" s="57" t="n">
        <f aca="false">EDATE($B$12,A105)</f>
        <v>48274</v>
      </c>
      <c r="C105" s="27" t="n">
        <f aca="false">$B$13</f>
        <v>2075.51390901829</v>
      </c>
      <c r="D105" s="27" t="n">
        <f aca="false">C105-E105</f>
        <v>414.931125406988</v>
      </c>
      <c r="E105" s="27" t="n">
        <f aca="false">F104*$B$10</f>
        <v>1660.5827836113</v>
      </c>
      <c r="F105" s="27" t="n">
        <f aca="false">MAX(0,F104-D105)</f>
        <v>294799.785961046</v>
      </c>
    </row>
    <row r="106" customFormat="false" ht="15" hidden="false" customHeight="false" outlineLevel="0" collapsed="false">
      <c r="A106" s="14" t="n">
        <v>75</v>
      </c>
      <c r="B106" s="57" t="n">
        <f aca="false">EDATE($B$12,A106)</f>
        <v>48305</v>
      </c>
      <c r="C106" s="27" t="n">
        <f aca="false">$B$13</f>
        <v>2075.51390901829</v>
      </c>
      <c r="D106" s="27" t="n">
        <f aca="false">C106-E106</f>
        <v>417.265112987403</v>
      </c>
      <c r="E106" s="27" t="n">
        <f aca="false">F105*$B$10</f>
        <v>1658.24879603089</v>
      </c>
      <c r="F106" s="27" t="n">
        <f aca="false">MAX(0,F105-D106)</f>
        <v>294382.520848059</v>
      </c>
    </row>
    <row r="107" customFormat="false" ht="15" hidden="false" customHeight="false" outlineLevel="0" collapsed="false">
      <c r="A107" s="14" t="n">
        <v>76</v>
      </c>
      <c r="B107" s="57" t="n">
        <f aca="false">EDATE($B$12,A107)</f>
        <v>48335</v>
      </c>
      <c r="C107" s="27" t="n">
        <f aca="false">$B$13</f>
        <v>2075.51390901829</v>
      </c>
      <c r="D107" s="27" t="n">
        <f aca="false">C107-E107</f>
        <v>419.612229247957</v>
      </c>
      <c r="E107" s="27" t="n">
        <f aca="false">F106*$B$10</f>
        <v>1655.90167977033</v>
      </c>
      <c r="F107" s="27" t="n">
        <f aca="false">MAX(0,F106-D107)</f>
        <v>293962.908618811</v>
      </c>
    </row>
    <row r="108" customFormat="false" ht="15" hidden="false" customHeight="false" outlineLevel="0" collapsed="false">
      <c r="A108" s="14" t="n">
        <v>77</v>
      </c>
      <c r="B108" s="57" t="n">
        <f aca="false">EDATE($B$12,A108)</f>
        <v>48366</v>
      </c>
      <c r="C108" s="27" t="n">
        <f aca="false">$B$13</f>
        <v>2075.51390901829</v>
      </c>
      <c r="D108" s="27" t="n">
        <f aca="false">C108-E108</f>
        <v>421.972548037477</v>
      </c>
      <c r="E108" s="27" t="n">
        <f aca="false">F107*$B$10</f>
        <v>1653.54136098081</v>
      </c>
      <c r="F108" s="27" t="n">
        <f aca="false">MAX(0,F107-D108)</f>
        <v>293540.936070774</v>
      </c>
    </row>
    <row r="109" customFormat="false" ht="15" hidden="false" customHeight="false" outlineLevel="0" collapsed="false">
      <c r="A109" s="14" t="n">
        <v>78</v>
      </c>
      <c r="B109" s="57" t="n">
        <f aca="false">EDATE($B$12,A109)</f>
        <v>48396</v>
      </c>
      <c r="C109" s="27" t="n">
        <f aca="false">$B$13</f>
        <v>2075.51390901829</v>
      </c>
      <c r="D109" s="27" t="n">
        <f aca="false">C109-E109</f>
        <v>424.346143620188</v>
      </c>
      <c r="E109" s="27" t="n">
        <f aca="false">F108*$B$10</f>
        <v>1651.1677653981</v>
      </c>
      <c r="F109" s="27" t="n">
        <f aca="false">MAX(0,F108-D109)</f>
        <v>293116.589927153</v>
      </c>
    </row>
    <row r="110" customFormat="false" ht="15" hidden="false" customHeight="false" outlineLevel="0" collapsed="false">
      <c r="A110" s="14" t="n">
        <v>79</v>
      </c>
      <c r="B110" s="57" t="n">
        <f aca="false">EDATE($B$12,A110)</f>
        <v>48427</v>
      </c>
      <c r="C110" s="27" t="n">
        <f aca="false">$B$13</f>
        <v>2075.51390901829</v>
      </c>
      <c r="D110" s="27" t="n">
        <f aca="false">C110-E110</f>
        <v>426.733090678051</v>
      </c>
      <c r="E110" s="27" t="n">
        <f aca="false">F109*$B$10</f>
        <v>1648.78081834024</v>
      </c>
      <c r="F110" s="27" t="n">
        <f aca="false">MAX(0,F109-D110)</f>
        <v>292689.856836475</v>
      </c>
    </row>
    <row r="111" customFormat="false" ht="15" hidden="false" customHeight="false" outlineLevel="0" collapsed="false">
      <c r="A111" s="14" t="n">
        <v>80</v>
      </c>
      <c r="B111" s="57" t="n">
        <f aca="false">EDATE($B$12,A111)</f>
        <v>48458</v>
      </c>
      <c r="C111" s="27" t="n">
        <f aca="false">$B$13</f>
        <v>2075.51390901829</v>
      </c>
      <c r="D111" s="27" t="n">
        <f aca="false">C111-E111</f>
        <v>429.133464313115</v>
      </c>
      <c r="E111" s="27" t="n">
        <f aca="false">F110*$B$10</f>
        <v>1646.38044470517</v>
      </c>
      <c r="F111" s="27" t="n">
        <f aca="false">MAX(0,F110-D111)</f>
        <v>292260.723372162</v>
      </c>
    </row>
    <row r="112" customFormat="false" ht="15" hidden="false" customHeight="false" outlineLevel="0" collapsed="false">
      <c r="A112" s="14" t="n">
        <v>81</v>
      </c>
      <c r="B112" s="57" t="n">
        <f aca="false">EDATE($B$12,A112)</f>
        <v>48488</v>
      </c>
      <c r="C112" s="27" t="n">
        <f aca="false">$B$13</f>
        <v>2075.51390901829</v>
      </c>
      <c r="D112" s="27" t="n">
        <f aca="false">C112-E112</f>
        <v>431.547340049877</v>
      </c>
      <c r="E112" s="27" t="n">
        <f aca="false">F111*$B$10</f>
        <v>1643.96656896841</v>
      </c>
      <c r="F112" s="27" t="n">
        <f aca="false">MAX(0,F111-D112)</f>
        <v>291829.176032112</v>
      </c>
    </row>
    <row r="113" customFormat="false" ht="15" hidden="false" customHeight="false" outlineLevel="0" collapsed="false">
      <c r="A113" s="14" t="n">
        <v>82</v>
      </c>
      <c r="B113" s="57" t="n">
        <f aca="false">EDATE($B$12,A113)</f>
        <v>48519</v>
      </c>
      <c r="C113" s="27" t="n">
        <f aca="false">$B$13</f>
        <v>2075.51390901829</v>
      </c>
      <c r="D113" s="27" t="n">
        <f aca="false">C113-E113</f>
        <v>433.974793837657</v>
      </c>
      <c r="E113" s="27" t="n">
        <f aca="false">F112*$B$10</f>
        <v>1641.53911518063</v>
      </c>
      <c r="F113" s="27" t="n">
        <f aca="false">MAX(0,F112-D113)</f>
        <v>291395.201238275</v>
      </c>
    </row>
    <row r="114" customFormat="false" ht="15" hidden="false" customHeight="false" outlineLevel="0" collapsed="false">
      <c r="A114" s="14" t="n">
        <v>83</v>
      </c>
      <c r="B114" s="57" t="n">
        <f aca="false">EDATE($B$12,A114)</f>
        <v>48549</v>
      </c>
      <c r="C114" s="27" t="n">
        <f aca="false">$B$13</f>
        <v>2075.51390901829</v>
      </c>
      <c r="D114" s="27" t="n">
        <f aca="false">C114-E114</f>
        <v>436.415902052994</v>
      </c>
      <c r="E114" s="27" t="n">
        <f aca="false">F113*$B$10</f>
        <v>1639.0980069653</v>
      </c>
      <c r="F114" s="27" t="n">
        <f aca="false">MAX(0,F113-D114)</f>
        <v>290958.785336222</v>
      </c>
    </row>
    <row r="115" customFormat="false" ht="15" hidden="false" customHeight="false" outlineLevel="0" collapsed="false">
      <c r="A115" s="14" t="n">
        <v>84</v>
      </c>
      <c r="B115" s="57" t="n">
        <f aca="false">EDATE($B$12,A115)</f>
        <v>48580</v>
      </c>
      <c r="C115" s="27" t="n">
        <f aca="false">$B$13</f>
        <v>2075.51390901829</v>
      </c>
      <c r="D115" s="27" t="n">
        <f aca="false">C115-E115</f>
        <v>438.870741502042</v>
      </c>
      <c r="E115" s="27" t="n">
        <f aca="false">F114*$B$10</f>
        <v>1636.64316751625</v>
      </c>
      <c r="F115" s="27" t="n">
        <f aca="false">MAX(0,F114-D115)</f>
        <v>290519.91459472</v>
      </c>
    </row>
    <row r="116" customFormat="false" ht="15" hidden="false" customHeight="false" outlineLevel="0" collapsed="false">
      <c r="A116" s="14" t="n">
        <v>85</v>
      </c>
      <c r="B116" s="57" t="n">
        <f aca="false">EDATE($B$12,A116)</f>
        <v>48611</v>
      </c>
      <c r="C116" s="27" t="n">
        <f aca="false">$B$13</f>
        <v>2075.51390901829</v>
      </c>
      <c r="D116" s="27" t="n">
        <f aca="false">C116-E116</f>
        <v>441.339389422991</v>
      </c>
      <c r="E116" s="27" t="n">
        <f aca="false">F115*$B$10</f>
        <v>1634.1745195953</v>
      </c>
      <c r="F116" s="27" t="n">
        <f aca="false">MAX(0,F115-D116)</f>
        <v>290078.575205297</v>
      </c>
    </row>
    <row r="117" customFormat="false" ht="15" hidden="false" customHeight="false" outlineLevel="0" collapsed="false">
      <c r="A117" s="14" t="n">
        <v>86</v>
      </c>
      <c r="B117" s="57" t="n">
        <f aca="false">EDATE($B$12,A117)</f>
        <v>48639</v>
      </c>
      <c r="C117" s="27" t="n">
        <f aca="false">$B$13</f>
        <v>2075.51390901829</v>
      </c>
      <c r="D117" s="27" t="n">
        <f aca="false">C117-E117</f>
        <v>443.821923488495</v>
      </c>
      <c r="E117" s="27" t="n">
        <f aca="false">F116*$B$10</f>
        <v>1631.69198552979</v>
      </c>
      <c r="F117" s="27" t="n">
        <f aca="false">MAX(0,F116-D117)</f>
        <v>289634.753281808</v>
      </c>
    </row>
    <row r="118" customFormat="false" ht="15" hidden="false" customHeight="false" outlineLevel="0" collapsed="false">
      <c r="A118" s="14" t="n">
        <v>87</v>
      </c>
      <c r="B118" s="57" t="n">
        <f aca="false">EDATE($B$12,A118)</f>
        <v>48670</v>
      </c>
      <c r="C118" s="27" t="n">
        <f aca="false">$B$13</f>
        <v>2075.51390901829</v>
      </c>
      <c r="D118" s="27" t="n">
        <f aca="false">C118-E118</f>
        <v>446.318421808118</v>
      </c>
      <c r="E118" s="27" t="n">
        <f aca="false">F117*$B$10</f>
        <v>1629.19548721017</v>
      </c>
      <c r="F118" s="27" t="n">
        <f aca="false">MAX(0,F117-D118)</f>
        <v>289188.43486</v>
      </c>
    </row>
    <row r="119" customFormat="false" ht="15" hidden="false" customHeight="false" outlineLevel="0" collapsed="false">
      <c r="A119" s="14" t="n">
        <v>88</v>
      </c>
      <c r="B119" s="57" t="n">
        <f aca="false">EDATE($B$12,A119)</f>
        <v>48700</v>
      </c>
      <c r="C119" s="27" t="n">
        <f aca="false">$B$13</f>
        <v>2075.51390901829</v>
      </c>
      <c r="D119" s="27" t="n">
        <f aca="false">C119-E119</f>
        <v>448.828962930789</v>
      </c>
      <c r="E119" s="27" t="n">
        <f aca="false">F118*$B$10</f>
        <v>1626.6849460875</v>
      </c>
      <c r="F119" s="27" t="n">
        <f aca="false">MAX(0,F118-D119)</f>
        <v>288739.605897069</v>
      </c>
    </row>
    <row r="120" customFormat="false" ht="15" hidden="false" customHeight="false" outlineLevel="0" collapsed="false">
      <c r="A120" s="14" t="n">
        <v>89</v>
      </c>
      <c r="B120" s="57" t="n">
        <f aca="false">EDATE($B$12,A120)</f>
        <v>48731</v>
      </c>
      <c r="C120" s="27" t="n">
        <f aca="false">$B$13</f>
        <v>2075.51390901829</v>
      </c>
      <c r="D120" s="27" t="n">
        <f aca="false">C120-E120</f>
        <v>451.353625847274</v>
      </c>
      <c r="E120" s="27" t="n">
        <f aca="false">F119*$B$10</f>
        <v>1624.16028317101</v>
      </c>
      <c r="F120" s="27" t="n">
        <f aca="false">MAX(0,F119-D120)</f>
        <v>288288.252271222</v>
      </c>
    </row>
    <row r="121" customFormat="false" ht="15" hidden="false" customHeight="false" outlineLevel="0" collapsed="false">
      <c r="A121" s="14" t="n">
        <v>90</v>
      </c>
      <c r="B121" s="57" t="n">
        <f aca="false">EDATE($B$12,A121)</f>
        <v>48761</v>
      </c>
      <c r="C121" s="27" t="n">
        <f aca="false">$B$13</f>
        <v>2075.51390901829</v>
      </c>
      <c r="D121" s="27" t="n">
        <f aca="false">C121-E121</f>
        <v>453.892489992665</v>
      </c>
      <c r="E121" s="27" t="n">
        <f aca="false">F120*$B$10</f>
        <v>1621.62141902562</v>
      </c>
      <c r="F121" s="27" t="n">
        <f aca="false">MAX(0,F120-D121)</f>
        <v>287834.359781229</v>
      </c>
    </row>
    <row r="122" customFormat="false" ht="15" hidden="false" customHeight="false" outlineLevel="0" collapsed="false">
      <c r="A122" s="14" t="n">
        <v>91</v>
      </c>
      <c r="B122" s="57" t="n">
        <f aca="false">EDATE($B$12,A122)</f>
        <v>48792</v>
      </c>
      <c r="C122" s="27" t="n">
        <f aca="false">$B$13</f>
        <v>2075.51390901829</v>
      </c>
      <c r="D122" s="27" t="n">
        <f aca="false">C122-E122</f>
        <v>456.445635248874</v>
      </c>
      <c r="E122" s="27" t="n">
        <f aca="false">F121*$B$10</f>
        <v>1619.06827376941</v>
      </c>
      <c r="F122" s="27" t="n">
        <f aca="false">MAX(0,F121-D122)</f>
        <v>287377.91414598</v>
      </c>
    </row>
    <row r="123" customFormat="false" ht="15" hidden="false" customHeight="false" outlineLevel="0" collapsed="false">
      <c r="A123" s="14" t="n">
        <v>92</v>
      </c>
      <c r="B123" s="57" t="n">
        <f aca="false">EDATE($B$12,A123)</f>
        <v>48823</v>
      </c>
      <c r="C123" s="27" t="n">
        <f aca="false">$B$13</f>
        <v>2075.51390901829</v>
      </c>
      <c r="D123" s="27" t="n">
        <f aca="false">C123-E123</f>
        <v>459.013141947149</v>
      </c>
      <c r="E123" s="27" t="n">
        <f aca="false">F122*$B$10</f>
        <v>1616.50076707114</v>
      </c>
      <c r="F123" s="27" t="n">
        <f aca="false">MAX(0,F122-D123)</f>
        <v>286918.901004033</v>
      </c>
    </row>
    <row r="124" customFormat="false" ht="15" hidden="false" customHeight="false" outlineLevel="0" collapsed="false">
      <c r="A124" s="14" t="n">
        <v>93</v>
      </c>
      <c r="B124" s="57" t="n">
        <f aca="false">EDATE($B$12,A124)</f>
        <v>48853</v>
      </c>
      <c r="C124" s="27" t="n">
        <f aca="false">$B$13</f>
        <v>2075.51390901829</v>
      </c>
      <c r="D124" s="27" t="n">
        <f aca="false">C124-E124</f>
        <v>461.595090870601</v>
      </c>
      <c r="E124" s="27" t="n">
        <f aca="false">F123*$B$10</f>
        <v>1613.91881814769</v>
      </c>
      <c r="F124" s="27" t="n">
        <f aca="false">MAX(0,F123-D124)</f>
        <v>286457.305913163</v>
      </c>
    </row>
    <row r="125" customFormat="false" ht="15" hidden="false" customHeight="false" outlineLevel="0" collapsed="false">
      <c r="A125" s="14" t="n">
        <v>94</v>
      </c>
      <c r="B125" s="57" t="n">
        <f aca="false">EDATE($B$12,A125)</f>
        <v>48884</v>
      </c>
      <c r="C125" s="27" t="n">
        <f aca="false">$B$13</f>
        <v>2075.51390901829</v>
      </c>
      <c r="D125" s="27" t="n">
        <f aca="false">C125-E125</f>
        <v>464.191563256749</v>
      </c>
      <c r="E125" s="27" t="n">
        <f aca="false">F124*$B$10</f>
        <v>1611.32234576154</v>
      </c>
      <c r="F125" s="27" t="n">
        <f aca="false">MAX(0,F124-D125)</f>
        <v>285993.114349906</v>
      </c>
    </row>
    <row r="126" customFormat="false" ht="15" hidden="false" customHeight="false" outlineLevel="0" collapsed="false">
      <c r="A126" s="14" t="n">
        <v>95</v>
      </c>
      <c r="B126" s="57" t="n">
        <f aca="false">EDATE($B$12,A126)</f>
        <v>48914</v>
      </c>
      <c r="C126" s="27" t="n">
        <f aca="false">$B$13</f>
        <v>2075.51390901829</v>
      </c>
      <c r="D126" s="27" t="n">
        <f aca="false">C126-E126</f>
        <v>466.802640800068</v>
      </c>
      <c r="E126" s="27" t="n">
        <f aca="false">F125*$B$10</f>
        <v>1608.71126821822</v>
      </c>
      <c r="F126" s="27" t="n">
        <f aca="false">MAX(0,F125-D126)</f>
        <v>285526.311709106</v>
      </c>
    </row>
    <row r="127" customFormat="false" ht="15" hidden="false" customHeight="false" outlineLevel="0" collapsed="false">
      <c r="A127" s="14" t="n">
        <v>96</v>
      </c>
      <c r="B127" s="57" t="n">
        <f aca="false">EDATE($B$12,A127)</f>
        <v>48945</v>
      </c>
      <c r="C127" s="27" t="n">
        <f aca="false">$B$13</f>
        <v>2075.51390901829</v>
      </c>
      <c r="D127" s="27" t="n">
        <f aca="false">C127-E127</f>
        <v>469.428405654568</v>
      </c>
      <c r="E127" s="27" t="n">
        <f aca="false">F126*$B$10</f>
        <v>1606.08550336372</v>
      </c>
      <c r="F127" s="27" t="n">
        <f aca="false">MAX(0,F126-D127)</f>
        <v>285056.883303451</v>
      </c>
    </row>
    <row r="128" customFormat="false" ht="15" hidden="false" customHeight="false" outlineLevel="0" collapsed="false">
      <c r="A128" s="14" t="n">
        <v>97</v>
      </c>
      <c r="B128" s="57" t="n">
        <f aca="false">EDATE($B$12,A128)</f>
        <v>48976</v>
      </c>
      <c r="C128" s="27" t="n">
        <f aca="false">$B$13</f>
        <v>2075.51390901829</v>
      </c>
      <c r="D128" s="27" t="n">
        <f aca="false">C128-E128</f>
        <v>472.068940436375</v>
      </c>
      <c r="E128" s="27" t="n">
        <f aca="false">F127*$B$10</f>
        <v>1603.44496858191</v>
      </c>
      <c r="F128" s="27" t="n">
        <f aca="false">MAX(0,F127-D128)</f>
        <v>284584.814363015</v>
      </c>
    </row>
    <row r="129" customFormat="false" ht="15" hidden="false" customHeight="false" outlineLevel="0" collapsed="false">
      <c r="A129" s="14" t="n">
        <v>98</v>
      </c>
      <c r="B129" s="57" t="n">
        <f aca="false">EDATE($B$12,A129)</f>
        <v>49004</v>
      </c>
      <c r="C129" s="27" t="n">
        <f aca="false">$B$13</f>
        <v>2075.51390901829</v>
      </c>
      <c r="D129" s="27" t="n">
        <f aca="false">C129-E129</f>
        <v>474.72432822633</v>
      </c>
      <c r="E129" s="27" t="n">
        <f aca="false">F128*$B$10</f>
        <v>1600.78958079196</v>
      </c>
      <c r="F129" s="27" t="n">
        <f aca="false">MAX(0,F128-D129)</f>
        <v>284110.090034789</v>
      </c>
    </row>
    <row r="130" customFormat="false" ht="15" hidden="false" customHeight="false" outlineLevel="0" collapsed="false">
      <c r="A130" s="14" t="n">
        <v>99</v>
      </c>
      <c r="B130" s="57" t="n">
        <f aca="false">EDATE($B$12,A130)</f>
        <v>49035</v>
      </c>
      <c r="C130" s="27" t="n">
        <f aca="false">$B$13</f>
        <v>2075.51390901829</v>
      </c>
      <c r="D130" s="27" t="n">
        <f aca="false">C130-E130</f>
        <v>477.394652572603</v>
      </c>
      <c r="E130" s="27" t="n">
        <f aca="false">F129*$B$10</f>
        <v>1598.11925644569</v>
      </c>
      <c r="F130" s="27" t="n">
        <f aca="false">MAX(0,F129-D130)</f>
        <v>283632.695382216</v>
      </c>
    </row>
    <row r="131" customFormat="false" ht="15" hidden="false" customHeight="false" outlineLevel="0" collapsed="false">
      <c r="A131" s="14" t="n">
        <v>100</v>
      </c>
      <c r="B131" s="57" t="n">
        <f aca="false">EDATE($B$12,A131)</f>
        <v>49065</v>
      </c>
      <c r="C131" s="27" t="n">
        <f aca="false">$B$13</f>
        <v>2075.51390901829</v>
      </c>
      <c r="D131" s="27" t="n">
        <f aca="false">C131-E131</f>
        <v>480.079997493324</v>
      </c>
      <c r="E131" s="27" t="n">
        <f aca="false">F130*$B$10</f>
        <v>1595.43391152497</v>
      </c>
      <c r="F131" s="27" t="n">
        <f aca="false">MAX(0,F130-D131)</f>
        <v>283152.615384723</v>
      </c>
    </row>
    <row r="132" customFormat="false" ht="15" hidden="false" customHeight="false" outlineLevel="0" collapsed="false">
      <c r="A132" s="14" t="n">
        <v>101</v>
      </c>
      <c r="B132" s="57" t="n">
        <f aca="false">EDATE($B$12,A132)</f>
        <v>49096</v>
      </c>
      <c r="C132" s="27" t="n">
        <f aca="false">$B$13</f>
        <v>2075.51390901829</v>
      </c>
      <c r="D132" s="27" t="n">
        <f aca="false">C132-E132</f>
        <v>482.780447479223</v>
      </c>
      <c r="E132" s="27" t="n">
        <f aca="false">F131*$B$10</f>
        <v>1592.73346153907</v>
      </c>
      <c r="F132" s="27" t="n">
        <f aca="false">MAX(0,F131-D132)</f>
        <v>282669.834937244</v>
      </c>
    </row>
    <row r="133" customFormat="false" ht="15" hidden="false" customHeight="false" outlineLevel="0" collapsed="false">
      <c r="A133" s="14" t="n">
        <v>102</v>
      </c>
      <c r="B133" s="57" t="n">
        <f aca="false">EDATE($B$12,A133)</f>
        <v>49126</v>
      </c>
      <c r="C133" s="27" t="n">
        <f aca="false">$B$13</f>
        <v>2075.51390901829</v>
      </c>
      <c r="D133" s="27" t="n">
        <f aca="false">C133-E133</f>
        <v>485.496087496294</v>
      </c>
      <c r="E133" s="27" t="n">
        <f aca="false">F132*$B$10</f>
        <v>1590.01782152199</v>
      </c>
      <c r="F133" s="27" t="n">
        <f aca="false">MAX(0,F132-D133)</f>
        <v>282184.338849747</v>
      </c>
    </row>
    <row r="134" customFormat="false" ht="15" hidden="false" customHeight="false" outlineLevel="0" collapsed="false">
      <c r="A134" s="14" t="n">
        <v>103</v>
      </c>
      <c r="B134" s="57" t="n">
        <f aca="false">EDATE($B$12,A134)</f>
        <v>49157</v>
      </c>
      <c r="C134" s="27" t="n">
        <f aca="false">$B$13</f>
        <v>2075.51390901829</v>
      </c>
      <c r="D134" s="27" t="n">
        <f aca="false">C134-E134</f>
        <v>488.227002988461</v>
      </c>
      <c r="E134" s="27" t="n">
        <f aca="false">F133*$B$10</f>
        <v>1587.28690602983</v>
      </c>
      <c r="F134" s="27" t="n">
        <f aca="false">MAX(0,F133-D134)</f>
        <v>281696.111846759</v>
      </c>
    </row>
    <row r="135" customFormat="false" ht="15" hidden="false" customHeight="false" outlineLevel="0" collapsed="false">
      <c r="A135" s="14" t="n">
        <v>104</v>
      </c>
      <c r="B135" s="57" t="n">
        <f aca="false">EDATE($B$12,A135)</f>
        <v>49188</v>
      </c>
      <c r="C135" s="27" t="n">
        <f aca="false">$B$13</f>
        <v>2075.51390901829</v>
      </c>
      <c r="D135" s="27" t="n">
        <f aca="false">C135-E135</f>
        <v>490.973279880271</v>
      </c>
      <c r="E135" s="27" t="n">
        <f aca="false">F134*$B$10</f>
        <v>1584.54062913802</v>
      </c>
      <c r="F135" s="27" t="n">
        <f aca="false">MAX(0,F134-D135)</f>
        <v>281205.138566879</v>
      </c>
    </row>
    <row r="136" customFormat="false" ht="15" hidden="false" customHeight="false" outlineLevel="0" collapsed="false">
      <c r="A136" s="14" t="n">
        <v>105</v>
      </c>
      <c r="B136" s="57" t="n">
        <f aca="false">EDATE($B$12,A136)</f>
        <v>49218</v>
      </c>
      <c r="C136" s="27" t="n">
        <f aca="false">$B$13</f>
        <v>2075.51390901829</v>
      </c>
      <c r="D136" s="27" t="n">
        <f aca="false">C136-E136</f>
        <v>493.735004579597</v>
      </c>
      <c r="E136" s="27" t="n">
        <f aca="false">F135*$B$10</f>
        <v>1581.77890443869</v>
      </c>
      <c r="F136" s="27" t="n">
        <f aca="false">MAX(0,F135-D136)</f>
        <v>280711.403562299</v>
      </c>
    </row>
    <row r="137" customFormat="false" ht="15" hidden="false" customHeight="false" outlineLevel="0" collapsed="false">
      <c r="A137" s="14" t="n">
        <v>106</v>
      </c>
      <c r="B137" s="57" t="n">
        <f aca="false">EDATE($B$12,A137)</f>
        <v>49249</v>
      </c>
      <c r="C137" s="27" t="n">
        <f aca="false">$B$13</f>
        <v>2075.51390901829</v>
      </c>
      <c r="D137" s="27" t="n">
        <f aca="false">C137-E137</f>
        <v>496.512263980357</v>
      </c>
      <c r="E137" s="27" t="n">
        <f aca="false">F136*$B$10</f>
        <v>1579.00164503793</v>
      </c>
      <c r="F137" s="27" t="n">
        <f aca="false">MAX(0,F136-D137)</f>
        <v>280214.891298319</v>
      </c>
    </row>
    <row r="138" customFormat="false" ht="15" hidden="false" customHeight="false" outlineLevel="0" collapsed="false">
      <c r="A138" s="14" t="n">
        <v>107</v>
      </c>
      <c r="B138" s="57" t="n">
        <f aca="false">EDATE($B$12,A138)</f>
        <v>49279</v>
      </c>
      <c r="C138" s="27" t="n">
        <f aca="false">$B$13</f>
        <v>2075.51390901829</v>
      </c>
      <c r="D138" s="27" t="n">
        <f aca="false">C138-E138</f>
        <v>499.305145465247</v>
      </c>
      <c r="E138" s="27" t="n">
        <f aca="false">F137*$B$10</f>
        <v>1576.20876355304</v>
      </c>
      <c r="F138" s="27" t="n">
        <f aca="false">MAX(0,F137-D138)</f>
        <v>279715.586152853</v>
      </c>
    </row>
    <row r="139" customFormat="false" ht="15" hidden="false" customHeight="false" outlineLevel="0" collapsed="false">
      <c r="A139" s="14" t="n">
        <v>108</v>
      </c>
      <c r="B139" s="57" t="n">
        <f aca="false">EDATE($B$12,A139)</f>
        <v>49310</v>
      </c>
      <c r="C139" s="27" t="n">
        <f aca="false">$B$13</f>
        <v>2075.51390901829</v>
      </c>
      <c r="D139" s="27" t="n">
        <f aca="false">C139-E139</f>
        <v>502.113736908489</v>
      </c>
      <c r="E139" s="27" t="n">
        <f aca="false">F138*$B$10</f>
        <v>1573.4001721098</v>
      </c>
      <c r="F139" s="27" t="n">
        <f aca="false">MAX(0,F138-D139)</f>
        <v>279213.472415945</v>
      </c>
    </row>
    <row r="140" customFormat="false" ht="15" hidden="false" customHeight="false" outlineLevel="0" collapsed="false">
      <c r="A140" s="14" t="n">
        <v>109</v>
      </c>
      <c r="B140" s="57" t="n">
        <f aca="false">EDATE($B$12,A140)</f>
        <v>49341</v>
      </c>
      <c r="C140" s="27" t="n">
        <f aca="false">$B$13</f>
        <v>2075.51390901829</v>
      </c>
      <c r="D140" s="27" t="n">
        <f aca="false">C140-E140</f>
        <v>504.938126678599</v>
      </c>
      <c r="E140" s="27" t="n">
        <f aca="false">F139*$B$10</f>
        <v>1570.57578233969</v>
      </c>
      <c r="F140" s="27" t="n">
        <f aca="false">MAX(0,F139-D140)</f>
        <v>278708.534289266</v>
      </c>
    </row>
    <row r="141" customFormat="false" ht="15" hidden="false" customHeight="false" outlineLevel="0" collapsed="false">
      <c r="A141" s="14" t="n">
        <v>110</v>
      </c>
      <c r="B141" s="57" t="n">
        <f aca="false">EDATE($B$12,A141)</f>
        <v>49369</v>
      </c>
      <c r="C141" s="27" t="n">
        <f aca="false">$B$13</f>
        <v>2075.51390901829</v>
      </c>
      <c r="D141" s="27" t="n">
        <f aca="false">C141-E141</f>
        <v>507.778403641166</v>
      </c>
      <c r="E141" s="27" t="n">
        <f aca="false">F140*$B$10</f>
        <v>1567.73550537712</v>
      </c>
      <c r="F141" s="27" t="n">
        <f aca="false">MAX(0,F140-D141)</f>
        <v>278200.755885625</v>
      </c>
    </row>
    <row r="142" customFormat="false" ht="15" hidden="false" customHeight="false" outlineLevel="0" collapsed="false">
      <c r="A142" s="14" t="n">
        <v>111</v>
      </c>
      <c r="B142" s="57" t="n">
        <f aca="false">EDATE($B$12,A142)</f>
        <v>49400</v>
      </c>
      <c r="C142" s="27" t="n">
        <f aca="false">$B$13</f>
        <v>2075.51390901829</v>
      </c>
      <c r="D142" s="27" t="n">
        <f aca="false">C142-E142</f>
        <v>510.634657161648</v>
      </c>
      <c r="E142" s="27" t="n">
        <f aca="false">F141*$B$10</f>
        <v>1564.87925185664</v>
      </c>
      <c r="F142" s="27" t="n">
        <f aca="false">MAX(0,F141-D142)</f>
        <v>277690.121228463</v>
      </c>
    </row>
    <row r="143" customFormat="false" ht="15" hidden="false" customHeight="false" outlineLevel="0" collapsed="false">
      <c r="A143" s="14" t="n">
        <v>112</v>
      </c>
      <c r="B143" s="57" t="n">
        <f aca="false">EDATE($B$12,A143)</f>
        <v>49430</v>
      </c>
      <c r="C143" s="27" t="n">
        <f aca="false">$B$13</f>
        <v>2075.51390901829</v>
      </c>
      <c r="D143" s="27" t="n">
        <f aca="false">C143-E143</f>
        <v>513.506977108182</v>
      </c>
      <c r="E143" s="27" t="n">
        <f aca="false">F142*$B$10</f>
        <v>1562.00693191011</v>
      </c>
      <c r="F143" s="27" t="n">
        <f aca="false">MAX(0,F142-D143)</f>
        <v>277176.614251355</v>
      </c>
    </row>
    <row r="144" customFormat="false" ht="15" hidden="false" customHeight="false" outlineLevel="0" collapsed="false">
      <c r="A144" s="14" t="n">
        <v>113</v>
      </c>
      <c r="B144" s="57" t="n">
        <f aca="false">EDATE($B$12,A144)</f>
        <v>49461</v>
      </c>
      <c r="C144" s="27" t="n">
        <f aca="false">$B$13</f>
        <v>2075.51390901829</v>
      </c>
      <c r="D144" s="27" t="n">
        <f aca="false">C144-E144</f>
        <v>516.395453854415</v>
      </c>
      <c r="E144" s="27" t="n">
        <f aca="false">F143*$B$10</f>
        <v>1559.11845516387</v>
      </c>
      <c r="F144" s="27" t="n">
        <f aca="false">MAX(0,F143-D144)</f>
        <v>276660.218797501</v>
      </c>
    </row>
    <row r="145" customFormat="false" ht="15" hidden="false" customHeight="false" outlineLevel="0" collapsed="false">
      <c r="A145" s="14" t="n">
        <v>114</v>
      </c>
      <c r="B145" s="57" t="n">
        <f aca="false">EDATE($B$12,A145)</f>
        <v>49491</v>
      </c>
      <c r="C145" s="27" t="n">
        <f aca="false">$B$13</f>
        <v>2075.51390901829</v>
      </c>
      <c r="D145" s="27" t="n">
        <f aca="false">C145-E145</f>
        <v>519.300178282347</v>
      </c>
      <c r="E145" s="27" t="n">
        <f aca="false">F144*$B$10</f>
        <v>1556.21373073594</v>
      </c>
      <c r="F145" s="27" t="n">
        <f aca="false">MAX(0,F144-D145)</f>
        <v>276140.918619218</v>
      </c>
    </row>
    <row r="146" customFormat="false" ht="15" hidden="false" customHeight="false" outlineLevel="0" collapsed="false">
      <c r="A146" s="14" t="n">
        <v>115</v>
      </c>
      <c r="B146" s="57" t="n">
        <f aca="false">EDATE($B$12,A146)</f>
        <v>49522</v>
      </c>
      <c r="C146" s="27" t="n">
        <f aca="false">$B$13</f>
        <v>2075.51390901829</v>
      </c>
      <c r="D146" s="27" t="n">
        <f aca="false">C146-E146</f>
        <v>522.221241785185</v>
      </c>
      <c r="E146" s="27" t="n">
        <f aca="false">F145*$B$10</f>
        <v>1553.2926672331</v>
      </c>
      <c r="F146" s="27" t="n">
        <f aca="false">MAX(0,F145-D146)</f>
        <v>275618.697377433</v>
      </c>
    </row>
    <row r="147" customFormat="false" ht="15" hidden="false" customHeight="false" outlineLevel="0" collapsed="false">
      <c r="A147" s="14" t="n">
        <v>116</v>
      </c>
      <c r="B147" s="57" t="n">
        <f aca="false">EDATE($B$12,A147)</f>
        <v>49553</v>
      </c>
      <c r="C147" s="27" t="n">
        <f aca="false">$B$13</f>
        <v>2075.51390901829</v>
      </c>
      <c r="D147" s="27" t="n">
        <f aca="false">C147-E147</f>
        <v>525.158736270227</v>
      </c>
      <c r="E147" s="27" t="n">
        <f aca="false">F146*$B$10</f>
        <v>1550.35517274806</v>
      </c>
      <c r="F147" s="27" t="n">
        <f aca="false">MAX(0,F146-D147)</f>
        <v>275093.538641163</v>
      </c>
    </row>
    <row r="148" customFormat="false" ht="15" hidden="false" customHeight="false" outlineLevel="0" collapsed="false">
      <c r="A148" s="14" t="n">
        <v>117</v>
      </c>
      <c r="B148" s="57" t="n">
        <f aca="false">EDATE($B$12,A148)</f>
        <v>49583</v>
      </c>
      <c r="C148" s="27" t="n">
        <f aca="false">$B$13</f>
        <v>2075.51390901829</v>
      </c>
      <c r="D148" s="27" t="n">
        <f aca="false">C148-E148</f>
        <v>528.112754161747</v>
      </c>
      <c r="E148" s="27" t="n">
        <f aca="false">F147*$B$10</f>
        <v>1547.40115485654</v>
      </c>
      <c r="F148" s="27" t="n">
        <f aca="false">MAX(0,F147-D148)</f>
        <v>274565.425887001</v>
      </c>
    </row>
    <row r="149" customFormat="false" ht="15" hidden="false" customHeight="false" outlineLevel="0" collapsed="false">
      <c r="A149" s="14" t="n">
        <v>118</v>
      </c>
      <c r="B149" s="57" t="n">
        <f aca="false">EDATE($B$12,A149)</f>
        <v>49614</v>
      </c>
      <c r="C149" s="27" t="n">
        <f aca="false">$B$13</f>
        <v>2075.51390901829</v>
      </c>
      <c r="D149" s="27" t="n">
        <f aca="false">C149-E149</f>
        <v>531.083388403906</v>
      </c>
      <c r="E149" s="27" t="n">
        <f aca="false">F148*$B$10</f>
        <v>1544.43052061438</v>
      </c>
      <c r="F149" s="27" t="n">
        <f aca="false">MAX(0,F148-D149)</f>
        <v>274034.342498597</v>
      </c>
    </row>
    <row r="150" customFormat="false" ht="15" hidden="false" customHeight="false" outlineLevel="0" collapsed="false">
      <c r="A150" s="14" t="n">
        <v>119</v>
      </c>
      <c r="B150" s="57" t="n">
        <f aca="false">EDATE($B$12,A150)</f>
        <v>49644</v>
      </c>
      <c r="C150" s="27" t="n">
        <f aca="false">$B$13</f>
        <v>2075.51390901829</v>
      </c>
      <c r="D150" s="27" t="n">
        <f aca="false">C150-E150</f>
        <v>534.070732463679</v>
      </c>
      <c r="E150" s="27" t="n">
        <f aca="false">F149*$B$10</f>
        <v>1541.44317655461</v>
      </c>
      <c r="F150" s="27" t="n">
        <f aca="false">MAX(0,F149-D150)</f>
        <v>273500.271766134</v>
      </c>
    </row>
    <row r="151" customFormat="false" ht="15" hidden="false" customHeight="false" outlineLevel="0" collapsed="false">
      <c r="A151" s="14" t="n">
        <v>120</v>
      </c>
      <c r="B151" s="57" t="n">
        <f aca="false">EDATE($B$12,A151)</f>
        <v>49675</v>
      </c>
      <c r="C151" s="27" t="n">
        <f aca="false">$B$13</f>
        <v>2075.51390901829</v>
      </c>
      <c r="D151" s="27" t="n">
        <f aca="false">C151-E151</f>
        <v>537.074880333787</v>
      </c>
      <c r="E151" s="27" t="n">
        <f aca="false">F150*$B$10</f>
        <v>1538.4390286845</v>
      </c>
      <c r="F151" s="27" t="n">
        <f aca="false">MAX(0,F150-D151)</f>
        <v>272963.1968858</v>
      </c>
    </row>
    <row r="152" customFormat="false" ht="15" hidden="false" customHeight="false" outlineLevel="0" collapsed="false">
      <c r="A152" s="14" t="n">
        <v>121</v>
      </c>
      <c r="B152" s="57" t="n">
        <f aca="false">EDATE($B$12,A152)</f>
        <v>49706</v>
      </c>
      <c r="C152" s="27" t="n">
        <f aca="false">$B$13</f>
        <v>2075.51390901829</v>
      </c>
      <c r="D152" s="27" t="n">
        <f aca="false">C152-E152</f>
        <v>540.095926535664</v>
      </c>
      <c r="E152" s="27" t="n">
        <f aca="false">F151*$B$10</f>
        <v>1535.41798248262</v>
      </c>
      <c r="F152" s="27" t="n">
        <f aca="false">MAX(0,F151-D152)</f>
        <v>272423.100959264</v>
      </c>
    </row>
    <row r="153" customFormat="false" ht="15" hidden="false" customHeight="false" outlineLevel="0" collapsed="false">
      <c r="A153" s="14" t="n">
        <v>122</v>
      </c>
      <c r="B153" s="57" t="n">
        <f aca="false">EDATE($B$12,A153)</f>
        <v>49735</v>
      </c>
      <c r="C153" s="27" t="n">
        <f aca="false">$B$13</f>
        <v>2075.51390901829</v>
      </c>
      <c r="D153" s="27" t="n">
        <f aca="false">C153-E153</f>
        <v>543.133966122427</v>
      </c>
      <c r="E153" s="27" t="n">
        <f aca="false">F152*$B$10</f>
        <v>1532.37994289586</v>
      </c>
      <c r="F153" s="27" t="n">
        <f aca="false">MAX(0,F152-D153)</f>
        <v>271879.966993142</v>
      </c>
    </row>
    <row r="154" customFormat="false" ht="15" hidden="false" customHeight="false" outlineLevel="0" collapsed="false">
      <c r="A154" s="14" t="n">
        <v>123</v>
      </c>
      <c r="B154" s="57" t="n">
        <f aca="false">EDATE($B$12,A154)</f>
        <v>49766</v>
      </c>
      <c r="C154" s="27" t="n">
        <f aca="false">$B$13</f>
        <v>2075.51390901829</v>
      </c>
      <c r="D154" s="27" t="n">
        <f aca="false">C154-E154</f>
        <v>546.189094681866</v>
      </c>
      <c r="E154" s="27" t="n">
        <f aca="false">F153*$B$10</f>
        <v>1529.32481433642</v>
      </c>
      <c r="F154" s="27" t="n">
        <f aca="false">MAX(0,F153-D154)</f>
        <v>271333.77789846</v>
      </c>
    </row>
    <row r="155" customFormat="false" ht="15" hidden="false" customHeight="false" outlineLevel="0" collapsed="false">
      <c r="A155" s="14" t="n">
        <v>124</v>
      </c>
      <c r="B155" s="57" t="n">
        <f aca="false">EDATE($B$12,A155)</f>
        <v>49796</v>
      </c>
      <c r="C155" s="27" t="n">
        <f aca="false">$B$13</f>
        <v>2075.51390901829</v>
      </c>
      <c r="D155" s="27" t="n">
        <f aca="false">C155-E155</f>
        <v>549.261408339452</v>
      </c>
      <c r="E155" s="27" t="n">
        <f aca="false">F154*$B$10</f>
        <v>1526.25250067884</v>
      </c>
      <c r="F155" s="27" t="n">
        <f aca="false">MAX(0,F154-D155)</f>
        <v>270784.516490121</v>
      </c>
    </row>
    <row r="156" customFormat="false" ht="15" hidden="false" customHeight="false" outlineLevel="0" collapsed="false">
      <c r="A156" s="14" t="n">
        <v>125</v>
      </c>
      <c r="B156" s="57" t="n">
        <f aca="false">EDATE($B$12,A156)</f>
        <v>49827</v>
      </c>
      <c r="C156" s="27" t="n">
        <f aca="false">$B$13</f>
        <v>2075.51390901829</v>
      </c>
      <c r="D156" s="27" t="n">
        <f aca="false">C156-E156</f>
        <v>552.351003761361</v>
      </c>
      <c r="E156" s="27" t="n">
        <f aca="false">F155*$B$10</f>
        <v>1523.16290525693</v>
      </c>
      <c r="F156" s="27" t="n">
        <f aca="false">MAX(0,F155-D156)</f>
        <v>270232.165486359</v>
      </c>
    </row>
    <row r="157" customFormat="false" ht="15" hidden="false" customHeight="false" outlineLevel="0" collapsed="false">
      <c r="A157" s="14" t="n">
        <v>126</v>
      </c>
      <c r="B157" s="57" t="n">
        <f aca="false">EDATE($B$12,A157)</f>
        <v>49857</v>
      </c>
      <c r="C157" s="27" t="n">
        <f aca="false">$B$13</f>
        <v>2075.51390901829</v>
      </c>
      <c r="D157" s="27" t="n">
        <f aca="false">C157-E157</f>
        <v>555.457978157519</v>
      </c>
      <c r="E157" s="27" t="n">
        <f aca="false">F156*$B$10</f>
        <v>1520.05593086077</v>
      </c>
      <c r="F157" s="27" t="n">
        <f aca="false">MAX(0,F156-D157)</f>
        <v>269676.707508202</v>
      </c>
    </row>
    <row r="158" customFormat="false" ht="15" hidden="false" customHeight="false" outlineLevel="0" collapsed="false">
      <c r="A158" s="14" t="n">
        <v>127</v>
      </c>
      <c r="B158" s="57" t="n">
        <f aca="false">EDATE($B$12,A158)</f>
        <v>49888</v>
      </c>
      <c r="C158" s="27" t="n">
        <f aca="false">$B$13</f>
        <v>2075.51390901829</v>
      </c>
      <c r="D158" s="27" t="n">
        <f aca="false">C158-E158</f>
        <v>558.582429284654</v>
      </c>
      <c r="E158" s="27" t="n">
        <f aca="false">F157*$B$10</f>
        <v>1516.93147973363</v>
      </c>
      <c r="F158" s="27" t="n">
        <f aca="false">MAX(0,F157-D158)</f>
        <v>269118.125078917</v>
      </c>
    </row>
    <row r="159" customFormat="false" ht="15" hidden="false" customHeight="false" outlineLevel="0" collapsed="false">
      <c r="A159" s="14" t="n">
        <v>128</v>
      </c>
      <c r="B159" s="57" t="n">
        <f aca="false">EDATE($B$12,A159)</f>
        <v>49919</v>
      </c>
      <c r="C159" s="27" t="n">
        <f aca="false">$B$13</f>
        <v>2075.51390901829</v>
      </c>
      <c r="D159" s="27" t="n">
        <f aca="false">C159-E159</f>
        <v>561.724455449381</v>
      </c>
      <c r="E159" s="27" t="n">
        <f aca="false">F158*$B$10</f>
        <v>1513.78945356891</v>
      </c>
      <c r="F159" s="27" t="n">
        <f aca="false">MAX(0,F158-D159)</f>
        <v>268556.400623468</v>
      </c>
    </row>
    <row r="160" customFormat="false" ht="15" hidden="false" customHeight="false" outlineLevel="0" collapsed="false">
      <c r="A160" s="14" t="n">
        <v>129</v>
      </c>
      <c r="B160" s="57" t="n">
        <f aca="false">EDATE($B$12,A160)</f>
        <v>49949</v>
      </c>
      <c r="C160" s="27" t="n">
        <f aca="false">$B$13</f>
        <v>2075.51390901829</v>
      </c>
      <c r="D160" s="27" t="n">
        <f aca="false">C160-E160</f>
        <v>564.884155511283</v>
      </c>
      <c r="E160" s="27" t="n">
        <f aca="false">F159*$B$10</f>
        <v>1510.62975350701</v>
      </c>
      <c r="F160" s="27" t="n">
        <f aca="false">MAX(0,F159-D160)</f>
        <v>267991.516467956</v>
      </c>
    </row>
    <row r="161" customFormat="false" ht="15" hidden="false" customHeight="false" outlineLevel="0" collapsed="false">
      <c r="A161" s="14" t="n">
        <v>130</v>
      </c>
      <c r="B161" s="57" t="n">
        <f aca="false">EDATE($B$12,A161)</f>
        <v>49980</v>
      </c>
      <c r="C161" s="27" t="n">
        <f aca="false">$B$13</f>
        <v>2075.51390901829</v>
      </c>
      <c r="D161" s="27" t="n">
        <f aca="false">C161-E161</f>
        <v>568.061628886034</v>
      </c>
      <c r="E161" s="27" t="n">
        <f aca="false">F160*$B$10</f>
        <v>1507.45228013225</v>
      </c>
      <c r="F161" s="27" t="n">
        <f aca="false">MAX(0,F160-D161)</f>
        <v>267423.45483907</v>
      </c>
    </row>
    <row r="162" customFormat="false" ht="15" hidden="false" customHeight="false" outlineLevel="0" collapsed="false">
      <c r="A162" s="14" t="n">
        <v>131</v>
      </c>
      <c r="B162" s="57" t="n">
        <f aca="false">EDATE($B$12,A162)</f>
        <v>50010</v>
      </c>
      <c r="C162" s="27" t="n">
        <f aca="false">$B$13</f>
        <v>2075.51390901829</v>
      </c>
      <c r="D162" s="27" t="n">
        <f aca="false">C162-E162</f>
        <v>571.256975548518</v>
      </c>
      <c r="E162" s="27" t="n">
        <f aca="false">F161*$B$10</f>
        <v>1504.25693346977</v>
      </c>
      <c r="F162" s="27" t="n">
        <f aca="false">MAX(0,F161-D162)</f>
        <v>266852.197863522</v>
      </c>
    </row>
    <row r="163" customFormat="false" ht="15" hidden="false" customHeight="false" outlineLevel="0" collapsed="false">
      <c r="A163" s="14" t="n">
        <v>132</v>
      </c>
      <c r="B163" s="57" t="n">
        <f aca="false">EDATE($B$12,A163)</f>
        <v>50041</v>
      </c>
      <c r="C163" s="27" t="n">
        <f aca="false">$B$13</f>
        <v>2075.51390901829</v>
      </c>
      <c r="D163" s="27" t="n">
        <f aca="false">C163-E163</f>
        <v>574.470296035978</v>
      </c>
      <c r="E163" s="27" t="n">
        <f aca="false">F162*$B$10</f>
        <v>1501.04361298231</v>
      </c>
      <c r="F163" s="27" t="n">
        <f aca="false">MAX(0,F162-D163)</f>
        <v>266277.727567486</v>
      </c>
    </row>
    <row r="164" customFormat="false" ht="15" hidden="false" customHeight="false" outlineLevel="0" collapsed="false">
      <c r="A164" s="14" t="n">
        <v>133</v>
      </c>
      <c r="B164" s="57" t="n">
        <f aca="false">EDATE($B$12,A164)</f>
        <v>50072</v>
      </c>
      <c r="C164" s="27" t="n">
        <f aca="false">$B$13</f>
        <v>2075.51390901829</v>
      </c>
      <c r="D164" s="27" t="n">
        <f aca="false">C164-E164</f>
        <v>577.701691451181</v>
      </c>
      <c r="E164" s="27" t="n">
        <f aca="false">F163*$B$10</f>
        <v>1497.81221756711</v>
      </c>
      <c r="F164" s="27" t="n">
        <f aca="false">MAX(0,F163-D164)</f>
        <v>265700.025876035</v>
      </c>
    </row>
    <row r="165" customFormat="false" ht="15" hidden="false" customHeight="false" outlineLevel="0" collapsed="false">
      <c r="A165" s="14" t="n">
        <v>134</v>
      </c>
      <c r="B165" s="57" t="n">
        <f aca="false">EDATE($B$12,A165)</f>
        <v>50100</v>
      </c>
      <c r="C165" s="27" t="n">
        <f aca="false">$B$13</f>
        <v>2075.51390901829</v>
      </c>
      <c r="D165" s="27" t="n">
        <f aca="false">C165-E165</f>
        <v>580.951263465594</v>
      </c>
      <c r="E165" s="27" t="n">
        <f aca="false">F164*$B$10</f>
        <v>1494.5626455527</v>
      </c>
      <c r="F165" s="27" t="n">
        <f aca="false">MAX(0,F164-D165)</f>
        <v>265119.074612569</v>
      </c>
    </row>
    <row r="166" customFormat="false" ht="15" hidden="false" customHeight="false" outlineLevel="0" collapsed="false">
      <c r="A166" s="14" t="n">
        <v>135</v>
      </c>
      <c r="B166" s="57" t="n">
        <f aca="false">EDATE($B$12,A166)</f>
        <v>50131</v>
      </c>
      <c r="C166" s="27" t="n">
        <f aca="false">$B$13</f>
        <v>2075.51390901829</v>
      </c>
      <c r="D166" s="27" t="n">
        <f aca="false">C166-E166</f>
        <v>584.219114322588</v>
      </c>
      <c r="E166" s="27" t="n">
        <f aca="false">F165*$B$10</f>
        <v>1491.2947946957</v>
      </c>
      <c r="F166" s="27" t="n">
        <f aca="false">MAX(0,F165-D166)</f>
        <v>264534.855498247</v>
      </c>
    </row>
    <row r="167" customFormat="false" ht="15" hidden="false" customHeight="false" outlineLevel="0" collapsed="false">
      <c r="A167" s="14" t="n">
        <v>136</v>
      </c>
      <c r="B167" s="57" t="n">
        <f aca="false">EDATE($B$12,A167)</f>
        <v>50161</v>
      </c>
      <c r="C167" s="27" t="n">
        <f aca="false">$B$13</f>
        <v>2075.51390901829</v>
      </c>
      <c r="D167" s="27" t="n">
        <f aca="false">C167-E167</f>
        <v>587.505346840652</v>
      </c>
      <c r="E167" s="27" t="n">
        <f aca="false">F166*$B$10</f>
        <v>1488.00856217764</v>
      </c>
      <c r="F167" s="27" t="n">
        <f aca="false">MAX(0,F166-D167)</f>
        <v>263947.350151406</v>
      </c>
    </row>
    <row r="168" customFormat="false" ht="15" hidden="false" customHeight="false" outlineLevel="0" collapsed="false">
      <c r="A168" s="14" t="n">
        <v>137</v>
      </c>
      <c r="B168" s="57" t="n">
        <f aca="false">EDATE($B$12,A168)</f>
        <v>50192</v>
      </c>
      <c r="C168" s="27" t="n">
        <f aca="false">$B$13</f>
        <v>2075.51390901829</v>
      </c>
      <c r="D168" s="27" t="n">
        <f aca="false">C168-E168</f>
        <v>590.810064416631</v>
      </c>
      <c r="E168" s="27" t="n">
        <f aca="false">F167*$B$10</f>
        <v>1484.70384460166</v>
      </c>
      <c r="F168" s="27" t="n">
        <f aca="false">MAX(0,F167-D168)</f>
        <v>263356.540086989</v>
      </c>
    </row>
    <row r="169" customFormat="false" ht="15" hidden="false" customHeight="false" outlineLevel="0" collapsed="false">
      <c r="A169" s="14" t="n">
        <v>138</v>
      </c>
      <c r="B169" s="57" t="n">
        <f aca="false">EDATE($B$12,A169)</f>
        <v>50222</v>
      </c>
      <c r="C169" s="27" t="n">
        <f aca="false">$B$13</f>
        <v>2075.51390901829</v>
      </c>
      <c r="D169" s="27" t="n">
        <f aca="false">C169-E169</f>
        <v>594.133371028974</v>
      </c>
      <c r="E169" s="27" t="n">
        <f aca="false">F168*$B$10</f>
        <v>1481.38053798931</v>
      </c>
      <c r="F169" s="27" t="n">
        <f aca="false">MAX(0,F168-D169)</f>
        <v>262762.40671596</v>
      </c>
    </row>
    <row r="170" customFormat="false" ht="15" hidden="false" customHeight="false" outlineLevel="0" collapsed="false">
      <c r="A170" s="14" t="n">
        <v>139</v>
      </c>
      <c r="B170" s="57" t="n">
        <f aca="false">EDATE($B$12,A170)</f>
        <v>50253</v>
      </c>
      <c r="C170" s="27" t="n">
        <f aca="false">$B$13</f>
        <v>2075.51390901829</v>
      </c>
      <c r="D170" s="27" t="n">
        <f aca="false">C170-E170</f>
        <v>597.475371241012</v>
      </c>
      <c r="E170" s="27" t="n">
        <f aca="false">F169*$B$10</f>
        <v>1478.03853777728</v>
      </c>
      <c r="F170" s="27" t="n">
        <f aca="false">MAX(0,F169-D170)</f>
        <v>262164.931344719</v>
      </c>
    </row>
    <row r="171" customFormat="false" ht="15" hidden="false" customHeight="false" outlineLevel="0" collapsed="false">
      <c r="A171" s="14" t="n">
        <v>140</v>
      </c>
      <c r="B171" s="57" t="n">
        <f aca="false">EDATE($B$12,A171)</f>
        <v>50284</v>
      </c>
      <c r="C171" s="27" t="n">
        <f aca="false">$B$13</f>
        <v>2075.51390901829</v>
      </c>
      <c r="D171" s="27" t="n">
        <f aca="false">C171-E171</f>
        <v>600.836170204243</v>
      </c>
      <c r="E171" s="27" t="n">
        <f aca="false">F170*$B$10</f>
        <v>1474.67773881405</v>
      </c>
      <c r="F171" s="27" t="n">
        <f aca="false">MAX(0,F170-D171)</f>
        <v>261564.095174515</v>
      </c>
    </row>
    <row r="172" customFormat="false" ht="15" hidden="false" customHeight="false" outlineLevel="0" collapsed="false">
      <c r="A172" s="14" t="n">
        <v>141</v>
      </c>
      <c r="B172" s="57" t="n">
        <f aca="false">EDATE($B$12,A172)</f>
        <v>50314</v>
      </c>
      <c r="C172" s="27" t="n">
        <f aca="false">$B$13</f>
        <v>2075.51390901829</v>
      </c>
      <c r="D172" s="27" t="n">
        <f aca="false">C172-E172</f>
        <v>604.215873661642</v>
      </c>
      <c r="E172" s="27" t="n">
        <f aca="false">F171*$B$10</f>
        <v>1471.29803535665</v>
      </c>
      <c r="F172" s="27" t="n">
        <f aca="false">MAX(0,F171-D172)</f>
        <v>260959.879300853</v>
      </c>
    </row>
    <row r="173" customFormat="false" ht="15" hidden="false" customHeight="false" outlineLevel="0" collapsed="false">
      <c r="A173" s="14" t="n">
        <v>142</v>
      </c>
      <c r="B173" s="57" t="n">
        <f aca="false">EDATE($B$12,A173)</f>
        <v>50345</v>
      </c>
      <c r="C173" s="27" t="n">
        <f aca="false">$B$13</f>
        <v>2075.51390901829</v>
      </c>
      <c r="D173" s="27" t="n">
        <f aca="false">C173-E173</f>
        <v>607.614587950989</v>
      </c>
      <c r="E173" s="27" t="n">
        <f aca="false">F172*$B$10</f>
        <v>1467.8993210673</v>
      </c>
      <c r="F173" s="27" t="n">
        <f aca="false">MAX(0,F172-D173)</f>
        <v>260352.264712902</v>
      </c>
    </row>
    <row r="174" customFormat="false" ht="15" hidden="false" customHeight="false" outlineLevel="0" collapsed="false">
      <c r="A174" s="14" t="n">
        <v>143</v>
      </c>
      <c r="B174" s="57" t="n">
        <f aca="false">EDATE($B$12,A174)</f>
        <v>50375</v>
      </c>
      <c r="C174" s="27" t="n">
        <f aca="false">$B$13</f>
        <v>2075.51390901829</v>
      </c>
      <c r="D174" s="27" t="n">
        <f aca="false">C174-E174</f>
        <v>611.032420008213</v>
      </c>
      <c r="E174" s="27" t="n">
        <f aca="false">F173*$B$10</f>
        <v>1464.48148901008</v>
      </c>
      <c r="F174" s="27" t="n">
        <f aca="false">MAX(0,F173-D174)</f>
        <v>259741.232292894</v>
      </c>
    </row>
    <row r="175" customFormat="false" ht="15" hidden="false" customHeight="false" outlineLevel="0" collapsed="false">
      <c r="A175" s="14" t="n">
        <v>144</v>
      </c>
      <c r="B175" s="57" t="n">
        <f aca="false">EDATE($B$12,A175)</f>
        <v>50406</v>
      </c>
      <c r="C175" s="27" t="n">
        <f aca="false">$B$13</f>
        <v>2075.51390901829</v>
      </c>
      <c r="D175" s="27" t="n">
        <f aca="false">C175-E175</f>
        <v>614.469477370759</v>
      </c>
      <c r="E175" s="27" t="n">
        <f aca="false">F174*$B$10</f>
        <v>1461.04443164753</v>
      </c>
      <c r="F175" s="27" t="n">
        <f aca="false">MAX(0,F174-D175)</f>
        <v>259126.762815523</v>
      </c>
    </row>
    <row r="176" customFormat="false" ht="15" hidden="false" customHeight="false" outlineLevel="0" collapsed="false">
      <c r="A176" s="14" t="n">
        <v>145</v>
      </c>
      <c r="B176" s="57" t="n">
        <f aca="false">EDATE($B$12,A176)</f>
        <v>50437</v>
      </c>
      <c r="C176" s="27" t="n">
        <f aca="false">$B$13</f>
        <v>2075.51390901829</v>
      </c>
      <c r="D176" s="27" t="n">
        <f aca="false">C176-E176</f>
        <v>617.92586818097</v>
      </c>
      <c r="E176" s="27" t="n">
        <f aca="false">F175*$B$10</f>
        <v>1457.58804083732</v>
      </c>
      <c r="F176" s="27" t="n">
        <f aca="false">MAX(0,F175-D176)</f>
        <v>258508.836947342</v>
      </c>
    </row>
    <row r="177" customFormat="false" ht="15" hidden="false" customHeight="false" outlineLevel="0" collapsed="false">
      <c r="A177" s="14" t="n">
        <v>146</v>
      </c>
      <c r="B177" s="57" t="n">
        <f aca="false">EDATE($B$12,A177)</f>
        <v>50465</v>
      </c>
      <c r="C177" s="27" t="n">
        <f aca="false">$B$13</f>
        <v>2075.51390901829</v>
      </c>
      <c r="D177" s="27" t="n">
        <f aca="false">C177-E177</f>
        <v>621.401701189487</v>
      </c>
      <c r="E177" s="27" t="n">
        <f aca="false">F176*$B$10</f>
        <v>1454.1122078288</v>
      </c>
      <c r="F177" s="27" t="n">
        <f aca="false">MAX(0,F176-D177)</f>
        <v>257887.435246153</v>
      </c>
    </row>
    <row r="178" customFormat="false" ht="15" hidden="false" customHeight="false" outlineLevel="0" collapsed="false">
      <c r="A178" s="14" t="n">
        <v>147</v>
      </c>
      <c r="B178" s="57" t="n">
        <f aca="false">EDATE($B$12,A178)</f>
        <v>50496</v>
      </c>
      <c r="C178" s="27" t="n">
        <f aca="false">$B$13</f>
        <v>2075.51390901829</v>
      </c>
      <c r="D178" s="27" t="n">
        <f aca="false">C178-E178</f>
        <v>624.897085758678</v>
      </c>
      <c r="E178" s="27" t="n">
        <f aca="false">F177*$B$10</f>
        <v>1450.61682325961</v>
      </c>
      <c r="F178" s="27" t="n">
        <f aca="false">MAX(0,F177-D178)</f>
        <v>257262.538160394</v>
      </c>
    </row>
    <row r="179" customFormat="false" ht="15" hidden="false" customHeight="false" outlineLevel="0" collapsed="false">
      <c r="A179" s="14" t="n">
        <v>148</v>
      </c>
      <c r="B179" s="57" t="n">
        <f aca="false">EDATE($B$12,A179)</f>
        <v>50526</v>
      </c>
      <c r="C179" s="27" t="n">
        <f aca="false">$B$13</f>
        <v>2075.51390901829</v>
      </c>
      <c r="D179" s="27" t="n">
        <f aca="false">C179-E179</f>
        <v>628.412131866071</v>
      </c>
      <c r="E179" s="27" t="n">
        <f aca="false">F178*$B$10</f>
        <v>1447.10177715222</v>
      </c>
      <c r="F179" s="27" t="n">
        <f aca="false">MAX(0,F178-D179)</f>
        <v>256634.126028528</v>
      </c>
    </row>
    <row r="180" customFormat="false" ht="15" hidden="false" customHeight="false" outlineLevel="0" collapsed="false">
      <c r="A180" s="14" t="n">
        <v>149</v>
      </c>
      <c r="B180" s="57" t="n">
        <f aca="false">EDATE($B$12,A180)</f>
        <v>50557</v>
      </c>
      <c r="C180" s="27" t="n">
        <f aca="false">$B$13</f>
        <v>2075.51390901829</v>
      </c>
      <c r="D180" s="27" t="n">
        <f aca="false">C180-E180</f>
        <v>631.946950107817</v>
      </c>
      <c r="E180" s="27" t="n">
        <f aca="false">F179*$B$10</f>
        <v>1443.56695891047</v>
      </c>
      <c r="F180" s="27" t="n">
        <f aca="false">MAX(0,F179-D180)</f>
        <v>256002.17907842</v>
      </c>
    </row>
    <row r="181" customFormat="false" ht="15" hidden="false" customHeight="false" outlineLevel="0" collapsed="false">
      <c r="A181" s="14" t="n">
        <v>150</v>
      </c>
      <c r="B181" s="57" t="n">
        <f aca="false">EDATE($B$12,A181)</f>
        <v>50587</v>
      </c>
      <c r="C181" s="27" t="n">
        <f aca="false">$B$13</f>
        <v>2075.51390901829</v>
      </c>
      <c r="D181" s="27" t="n">
        <f aca="false">C181-E181</f>
        <v>635.501651702174</v>
      </c>
      <c r="E181" s="27" t="n">
        <f aca="false">F180*$B$10</f>
        <v>1440.01225731612</v>
      </c>
      <c r="F181" s="27" t="n">
        <f aca="false">MAX(0,F180-D181)</f>
        <v>255366.677426718</v>
      </c>
    </row>
    <row r="182" customFormat="false" ht="15" hidden="false" customHeight="false" outlineLevel="0" collapsed="false">
      <c r="A182" s="14" t="n">
        <v>151</v>
      </c>
      <c r="B182" s="57" t="n">
        <f aca="false">EDATE($B$12,A182)</f>
        <v>50618</v>
      </c>
      <c r="C182" s="27" t="n">
        <f aca="false">$B$13</f>
        <v>2075.51390901829</v>
      </c>
      <c r="D182" s="27" t="n">
        <f aca="false">C182-E182</f>
        <v>639.076348492999</v>
      </c>
      <c r="E182" s="27" t="n">
        <f aca="false">F181*$B$10</f>
        <v>1436.43756052529</v>
      </c>
      <c r="F182" s="27" t="n">
        <f aca="false">MAX(0,F181-D182)</f>
        <v>254727.601078225</v>
      </c>
    </row>
    <row r="183" customFormat="false" ht="15" hidden="false" customHeight="false" outlineLevel="0" collapsed="false">
      <c r="A183" s="14" t="n">
        <v>152</v>
      </c>
      <c r="B183" s="57" t="n">
        <f aca="false">EDATE($B$12,A183)</f>
        <v>50649</v>
      </c>
      <c r="C183" s="27" t="n">
        <f aca="false">$B$13</f>
        <v>2075.51390901829</v>
      </c>
      <c r="D183" s="27" t="n">
        <f aca="false">C183-E183</f>
        <v>642.671152953272</v>
      </c>
      <c r="E183" s="27" t="n">
        <f aca="false">F182*$B$10</f>
        <v>1432.84275606502</v>
      </c>
      <c r="F183" s="27" t="n">
        <f aca="false">MAX(0,F182-D183)</f>
        <v>254084.929925272</v>
      </c>
    </row>
    <row r="184" customFormat="false" ht="15" hidden="false" customHeight="false" outlineLevel="0" collapsed="false">
      <c r="A184" s="14" t="n">
        <v>153</v>
      </c>
      <c r="B184" s="57" t="n">
        <f aca="false">EDATE($B$12,A184)</f>
        <v>50679</v>
      </c>
      <c r="C184" s="27" t="n">
        <f aca="false">$B$13</f>
        <v>2075.51390901829</v>
      </c>
      <c r="D184" s="27" t="n">
        <f aca="false">C184-E184</f>
        <v>646.286178188634</v>
      </c>
      <c r="E184" s="27" t="n">
        <f aca="false">F183*$B$10</f>
        <v>1429.22773082965</v>
      </c>
      <c r="F184" s="27" t="n">
        <f aca="false">MAX(0,F183-D184)</f>
        <v>253438.643747083</v>
      </c>
    </row>
    <row r="185" customFormat="false" ht="15" hidden="false" customHeight="false" outlineLevel="0" collapsed="false">
      <c r="A185" s="14" t="n">
        <v>154</v>
      </c>
      <c r="B185" s="57" t="n">
        <f aca="false">EDATE($B$12,A185)</f>
        <v>50710</v>
      </c>
      <c r="C185" s="27" t="n">
        <f aca="false">$B$13</f>
        <v>2075.51390901829</v>
      </c>
      <c r="D185" s="27" t="n">
        <f aca="false">C185-E185</f>
        <v>649.921537940945</v>
      </c>
      <c r="E185" s="27" t="n">
        <f aca="false">F184*$B$10</f>
        <v>1425.59237107734</v>
      </c>
      <c r="F185" s="27" t="n">
        <f aca="false">MAX(0,F184-D185)</f>
        <v>252788.722209142</v>
      </c>
    </row>
    <row r="186" customFormat="false" ht="15" hidden="false" customHeight="false" outlineLevel="0" collapsed="false">
      <c r="A186" s="14" t="n">
        <v>155</v>
      </c>
      <c r="B186" s="57" t="n">
        <f aca="false">EDATE($B$12,A186)</f>
        <v>50740</v>
      </c>
      <c r="C186" s="27" t="n">
        <f aca="false">$B$13</f>
        <v>2075.51390901829</v>
      </c>
      <c r="D186" s="27" t="n">
        <f aca="false">C186-E186</f>
        <v>653.577346591863</v>
      </c>
      <c r="E186" s="27" t="n">
        <f aca="false">F185*$B$10</f>
        <v>1421.93656242643</v>
      </c>
      <c r="F186" s="27" t="n">
        <f aca="false">MAX(0,F185-D186)</f>
        <v>252135.144862551</v>
      </c>
    </row>
    <row r="187" customFormat="false" ht="15" hidden="false" customHeight="false" outlineLevel="0" collapsed="false">
      <c r="A187" s="14" t="n">
        <v>156</v>
      </c>
      <c r="B187" s="57" t="n">
        <f aca="false">EDATE($B$12,A187)</f>
        <v>50771</v>
      </c>
      <c r="C187" s="27" t="n">
        <f aca="false">$B$13</f>
        <v>2075.51390901829</v>
      </c>
      <c r="D187" s="27" t="n">
        <f aca="false">C187-E187</f>
        <v>657.253719166442</v>
      </c>
      <c r="E187" s="27" t="n">
        <f aca="false">F186*$B$10</f>
        <v>1418.26018985185</v>
      </c>
      <c r="F187" s="27" t="n">
        <f aca="false">MAX(0,F186-D187)</f>
        <v>251477.891143384</v>
      </c>
    </row>
    <row r="188" customFormat="false" ht="15" hidden="false" customHeight="false" outlineLevel="0" collapsed="false">
      <c r="A188" s="14" t="n">
        <v>157</v>
      </c>
      <c r="B188" s="57" t="n">
        <f aca="false">EDATE($B$12,A188)</f>
        <v>50802</v>
      </c>
      <c r="C188" s="27" t="n">
        <f aca="false">$B$13</f>
        <v>2075.51390901829</v>
      </c>
      <c r="D188" s="27" t="n">
        <f aca="false">C188-E188</f>
        <v>660.950771336753</v>
      </c>
      <c r="E188" s="27" t="n">
        <f aca="false">F187*$B$10</f>
        <v>1414.56313768154</v>
      </c>
      <c r="F188" s="27" t="n">
        <f aca="false">MAX(0,F187-D188)</f>
        <v>250816.940372047</v>
      </c>
    </row>
    <row r="189" customFormat="false" ht="15" hidden="false" customHeight="false" outlineLevel="0" collapsed="false">
      <c r="A189" s="14" t="n">
        <v>158</v>
      </c>
      <c r="B189" s="57" t="n">
        <f aca="false">EDATE($B$12,A189)</f>
        <v>50830</v>
      </c>
      <c r="C189" s="27" t="n">
        <f aca="false">$B$13</f>
        <v>2075.51390901829</v>
      </c>
      <c r="D189" s="27" t="n">
        <f aca="false">C189-E189</f>
        <v>664.668619425523</v>
      </c>
      <c r="E189" s="27" t="n">
        <f aca="false">F188*$B$10</f>
        <v>1410.84528959277</v>
      </c>
      <c r="F189" s="27" t="n">
        <f aca="false">MAX(0,F188-D189)</f>
        <v>250152.271752622</v>
      </c>
    </row>
    <row r="190" customFormat="false" ht="15" hidden="false" customHeight="false" outlineLevel="0" collapsed="false">
      <c r="A190" s="14" t="n">
        <v>159</v>
      </c>
      <c r="B190" s="57" t="n">
        <f aca="false">EDATE($B$12,A190)</f>
        <v>50861</v>
      </c>
      <c r="C190" s="27" t="n">
        <f aca="false">$B$13</f>
        <v>2075.51390901829</v>
      </c>
      <c r="D190" s="27" t="n">
        <f aca="false">C190-E190</f>
        <v>668.407380409791</v>
      </c>
      <c r="E190" s="27" t="n">
        <f aca="false">F189*$B$10</f>
        <v>1407.1065286085</v>
      </c>
      <c r="F190" s="27" t="n">
        <f aca="false">MAX(0,F189-D190)</f>
        <v>249483.864372212</v>
      </c>
    </row>
    <row r="191" customFormat="false" ht="15" hidden="false" customHeight="false" outlineLevel="0" collapsed="false">
      <c r="A191" s="14" t="n">
        <v>160</v>
      </c>
      <c r="B191" s="57" t="n">
        <f aca="false">EDATE($B$12,A191)</f>
        <v>50891</v>
      </c>
      <c r="C191" s="27" t="n">
        <f aca="false">$B$13</f>
        <v>2075.51390901829</v>
      </c>
      <c r="D191" s="27" t="n">
        <f aca="false">C191-E191</f>
        <v>672.167171924596</v>
      </c>
      <c r="E191" s="27" t="n">
        <f aca="false">F190*$B$10</f>
        <v>1403.34673709369</v>
      </c>
      <c r="F191" s="27" t="n">
        <f aca="false">MAX(0,F190-D191)</f>
        <v>248811.697200287</v>
      </c>
    </row>
    <row r="192" customFormat="false" ht="15" hidden="false" customHeight="false" outlineLevel="0" collapsed="false">
      <c r="A192" s="14" t="n">
        <v>161</v>
      </c>
      <c r="B192" s="57" t="n">
        <f aca="false">EDATE($B$12,A192)</f>
        <v>50922</v>
      </c>
      <c r="C192" s="27" t="n">
        <f aca="false">$B$13</f>
        <v>2075.51390901829</v>
      </c>
      <c r="D192" s="27" t="n">
        <f aca="false">C192-E192</f>
        <v>675.948112266672</v>
      </c>
      <c r="E192" s="27" t="n">
        <f aca="false">F191*$B$10</f>
        <v>1399.56579675162</v>
      </c>
      <c r="F192" s="27" t="n">
        <f aca="false">MAX(0,F191-D192)</f>
        <v>248135.749088021</v>
      </c>
    </row>
    <row r="193" customFormat="false" ht="15" hidden="false" customHeight="false" outlineLevel="0" collapsed="false">
      <c r="A193" s="14" t="n">
        <v>162</v>
      </c>
      <c r="B193" s="57" t="n">
        <f aca="false">EDATE($B$12,A193)</f>
        <v>50952</v>
      </c>
      <c r="C193" s="27" t="n">
        <f aca="false">$B$13</f>
        <v>2075.51390901829</v>
      </c>
      <c r="D193" s="27" t="n">
        <f aca="false">C193-E193</f>
        <v>679.750320398172</v>
      </c>
      <c r="E193" s="27" t="n">
        <f aca="false">F192*$B$10</f>
        <v>1395.76358862012</v>
      </c>
      <c r="F193" s="27" t="n">
        <f aca="false">MAX(0,F192-D193)</f>
        <v>247455.998767623</v>
      </c>
    </row>
    <row r="194" customFormat="false" ht="15" hidden="false" customHeight="false" outlineLevel="0" collapsed="false">
      <c r="A194" s="14" t="n">
        <v>163</v>
      </c>
      <c r="B194" s="57" t="n">
        <f aca="false">EDATE($B$12,A194)</f>
        <v>50983</v>
      </c>
      <c r="C194" s="27" t="n">
        <f aca="false">$B$13</f>
        <v>2075.51390901829</v>
      </c>
      <c r="D194" s="27" t="n">
        <f aca="false">C194-E194</f>
        <v>683.573915950412</v>
      </c>
      <c r="E194" s="27" t="n">
        <f aca="false">F193*$B$10</f>
        <v>1391.93999306788</v>
      </c>
      <c r="F194" s="27" t="n">
        <f aca="false">MAX(0,F193-D194)</f>
        <v>246772.424851672</v>
      </c>
    </row>
    <row r="195" customFormat="false" ht="15" hidden="false" customHeight="false" outlineLevel="0" collapsed="false">
      <c r="A195" s="14" t="n">
        <v>164</v>
      </c>
      <c r="B195" s="57" t="n">
        <f aca="false">EDATE($B$12,A195)</f>
        <v>51014</v>
      </c>
      <c r="C195" s="27" t="n">
        <f aca="false">$B$13</f>
        <v>2075.51390901829</v>
      </c>
      <c r="D195" s="27" t="n">
        <f aca="false">C195-E195</f>
        <v>687.419019227633</v>
      </c>
      <c r="E195" s="27" t="n">
        <f aca="false">F194*$B$10</f>
        <v>1388.09488979066</v>
      </c>
      <c r="F195" s="27" t="n">
        <f aca="false">MAX(0,F194-D195)</f>
        <v>246085.005832445</v>
      </c>
    </row>
    <row r="196" customFormat="false" ht="15" hidden="false" customHeight="false" outlineLevel="0" collapsed="false">
      <c r="A196" s="14" t="n">
        <v>165</v>
      </c>
      <c r="B196" s="57" t="n">
        <f aca="false">EDATE($B$12,A196)</f>
        <v>51044</v>
      </c>
      <c r="C196" s="27" t="n">
        <f aca="false">$B$13</f>
        <v>2075.51390901829</v>
      </c>
      <c r="D196" s="27" t="n">
        <f aca="false">C196-E196</f>
        <v>691.285751210788</v>
      </c>
      <c r="E196" s="27" t="n">
        <f aca="false">F195*$B$10</f>
        <v>1384.2281578075</v>
      </c>
      <c r="F196" s="27" t="n">
        <f aca="false">MAX(0,F195-D196)</f>
        <v>245393.720081234</v>
      </c>
    </row>
    <row r="197" customFormat="false" ht="15" hidden="false" customHeight="false" outlineLevel="0" collapsed="false">
      <c r="A197" s="14" t="n">
        <v>166</v>
      </c>
      <c r="B197" s="57" t="n">
        <f aca="false">EDATE($B$12,A197)</f>
        <v>51075</v>
      </c>
      <c r="C197" s="27" t="n">
        <f aca="false">$B$13</f>
        <v>2075.51390901829</v>
      </c>
      <c r="D197" s="27" t="n">
        <f aca="false">C197-E197</f>
        <v>695.174233561349</v>
      </c>
      <c r="E197" s="27" t="n">
        <f aca="false">F196*$B$10</f>
        <v>1380.33967545694</v>
      </c>
      <c r="F197" s="27" t="n">
        <f aca="false">MAX(0,F196-D197)</f>
        <v>244698.545847672</v>
      </c>
    </row>
    <row r="198" customFormat="false" ht="15" hidden="false" customHeight="false" outlineLevel="0" collapsed="false">
      <c r="A198" s="14" t="n">
        <v>167</v>
      </c>
      <c r="B198" s="57" t="n">
        <f aca="false">EDATE($B$12,A198)</f>
        <v>51105</v>
      </c>
      <c r="C198" s="27" t="n">
        <f aca="false">$B$13</f>
        <v>2075.51390901829</v>
      </c>
      <c r="D198" s="27" t="n">
        <f aca="false">C198-E198</f>
        <v>699.084588625132</v>
      </c>
      <c r="E198" s="27" t="n">
        <f aca="false">F197*$B$10</f>
        <v>1376.42932039316</v>
      </c>
      <c r="F198" s="27" t="n">
        <f aca="false">MAX(0,F197-D198)</f>
        <v>243999.461259047</v>
      </c>
    </row>
    <row r="199" customFormat="false" ht="15" hidden="false" customHeight="false" outlineLevel="0" collapsed="false">
      <c r="A199" s="14" t="n">
        <v>168</v>
      </c>
      <c r="B199" s="57" t="n">
        <f aca="false">EDATE($B$12,A199)</f>
        <v>51136</v>
      </c>
      <c r="C199" s="27" t="n">
        <f aca="false">$B$13</f>
        <v>2075.51390901829</v>
      </c>
      <c r="D199" s="27" t="n">
        <f aca="false">C199-E199</f>
        <v>703.016939436148</v>
      </c>
      <c r="E199" s="27" t="n">
        <f aca="false">F198*$B$10</f>
        <v>1372.49696958214</v>
      </c>
      <c r="F199" s="27" t="n">
        <f aca="false">MAX(0,F198-D199)</f>
        <v>243296.444319611</v>
      </c>
    </row>
    <row r="200" customFormat="false" ht="15" hidden="false" customHeight="false" outlineLevel="0" collapsed="false">
      <c r="A200" s="14" t="n">
        <v>169</v>
      </c>
      <c r="B200" s="57" t="n">
        <f aca="false">EDATE($B$12,A200)</f>
        <v>51167</v>
      </c>
      <c r="C200" s="27" t="n">
        <f aca="false">$B$13</f>
        <v>2075.51390901829</v>
      </c>
      <c r="D200" s="27" t="n">
        <f aca="false">C200-E200</f>
        <v>706.971409720476</v>
      </c>
      <c r="E200" s="27" t="n">
        <f aca="false">F199*$B$10</f>
        <v>1368.54249929781</v>
      </c>
      <c r="F200" s="27" t="n">
        <f aca="false">MAX(0,F199-D200)</f>
        <v>242589.472909891</v>
      </c>
    </row>
    <row r="201" customFormat="false" ht="15" hidden="false" customHeight="false" outlineLevel="0" collapsed="false">
      <c r="A201" s="14" t="n">
        <v>170</v>
      </c>
      <c r="B201" s="57" t="n">
        <f aca="false">EDATE($B$12,A201)</f>
        <v>51196</v>
      </c>
      <c r="C201" s="27" t="n">
        <f aca="false">$B$13</f>
        <v>2075.51390901829</v>
      </c>
      <c r="D201" s="27" t="n">
        <f aca="false">C201-E201</f>
        <v>710.948123900154</v>
      </c>
      <c r="E201" s="27" t="n">
        <f aca="false">F200*$B$10</f>
        <v>1364.56578511814</v>
      </c>
      <c r="F201" s="27" t="n">
        <f aca="false">MAX(0,F200-D201)</f>
        <v>241878.52478599</v>
      </c>
    </row>
    <row r="202" customFormat="false" ht="15" hidden="false" customHeight="false" outlineLevel="0" collapsed="false">
      <c r="A202" s="14" t="n">
        <v>171</v>
      </c>
      <c r="B202" s="57" t="n">
        <f aca="false">EDATE($B$12,A202)</f>
        <v>51227</v>
      </c>
      <c r="C202" s="27" t="n">
        <f aca="false">$B$13</f>
        <v>2075.51390901829</v>
      </c>
      <c r="D202" s="27" t="n">
        <f aca="false">C202-E202</f>
        <v>714.947207097092</v>
      </c>
      <c r="E202" s="27" t="n">
        <f aca="false">F201*$B$10</f>
        <v>1360.5667019212</v>
      </c>
      <c r="F202" s="27" t="n">
        <f aca="false">MAX(0,F201-D202)</f>
        <v>241163.577578893</v>
      </c>
    </row>
    <row r="203" customFormat="false" ht="15" hidden="false" customHeight="false" outlineLevel="0" collapsed="false">
      <c r="A203" s="14" t="n">
        <v>172</v>
      </c>
      <c r="B203" s="57" t="n">
        <f aca="false">EDATE($B$12,A203)</f>
        <v>51257</v>
      </c>
      <c r="C203" s="27" t="n">
        <f aca="false">$B$13</f>
        <v>2075.51390901829</v>
      </c>
      <c r="D203" s="27" t="n">
        <f aca="false">C203-E203</f>
        <v>718.968785137013</v>
      </c>
      <c r="E203" s="27" t="n">
        <f aca="false">F202*$B$10</f>
        <v>1356.54512388128</v>
      </c>
      <c r="F203" s="27" t="n">
        <f aca="false">MAX(0,F202-D203)</f>
        <v>240444.608793756</v>
      </c>
    </row>
    <row r="204" customFormat="false" ht="15" hidden="false" customHeight="false" outlineLevel="0" collapsed="false">
      <c r="A204" s="14" t="n">
        <v>173</v>
      </c>
      <c r="B204" s="57" t="n">
        <f aca="false">EDATE($B$12,A204)</f>
        <v>51288</v>
      </c>
      <c r="C204" s="27" t="n">
        <f aca="false">$B$13</f>
        <v>2075.51390901829</v>
      </c>
      <c r="D204" s="27" t="n">
        <f aca="false">C204-E204</f>
        <v>723.012984553409</v>
      </c>
      <c r="E204" s="27" t="n">
        <f aca="false">F203*$B$10</f>
        <v>1352.50092446488</v>
      </c>
      <c r="F204" s="27" t="n">
        <f aca="false">MAX(0,F203-D204)</f>
        <v>239721.595809203</v>
      </c>
    </row>
    <row r="205" customFormat="false" ht="15" hidden="false" customHeight="false" outlineLevel="0" collapsed="false">
      <c r="A205" s="14" t="n">
        <v>174</v>
      </c>
      <c r="B205" s="57" t="n">
        <f aca="false">EDATE($B$12,A205)</f>
        <v>51318</v>
      </c>
      <c r="C205" s="27" t="n">
        <f aca="false">$B$13</f>
        <v>2075.51390901829</v>
      </c>
      <c r="D205" s="27" t="n">
        <f aca="false">C205-E205</f>
        <v>727.079932591522</v>
      </c>
      <c r="E205" s="27" t="n">
        <f aca="false">F204*$B$10</f>
        <v>1348.43397642677</v>
      </c>
      <c r="F205" s="27" t="n">
        <f aca="false">MAX(0,F204-D205)</f>
        <v>238994.515876611</v>
      </c>
    </row>
    <row r="206" customFormat="false" ht="15" hidden="false" customHeight="false" outlineLevel="0" collapsed="false">
      <c r="A206" s="14" t="n">
        <v>175</v>
      </c>
      <c r="B206" s="57" t="n">
        <f aca="false">EDATE($B$12,A206)</f>
        <v>51349</v>
      </c>
      <c r="C206" s="27" t="n">
        <f aca="false">$B$13</f>
        <v>2075.51390901829</v>
      </c>
      <c r="D206" s="27" t="n">
        <f aca="false">C206-E206</f>
        <v>731.16975721235</v>
      </c>
      <c r="E206" s="27" t="n">
        <f aca="false">F205*$B$10</f>
        <v>1344.34415180594</v>
      </c>
      <c r="F206" s="27" t="n">
        <f aca="false">MAX(0,F205-D206)</f>
        <v>238263.346119399</v>
      </c>
    </row>
    <row r="207" customFormat="false" ht="15" hidden="false" customHeight="false" outlineLevel="0" collapsed="false">
      <c r="A207" s="14" t="n">
        <v>176</v>
      </c>
      <c r="B207" s="57" t="n">
        <f aca="false">EDATE($B$12,A207)</f>
        <v>51380</v>
      </c>
      <c r="C207" s="27" t="n">
        <f aca="false">$B$13</f>
        <v>2075.51390901829</v>
      </c>
      <c r="D207" s="27" t="n">
        <f aca="false">C207-E207</f>
        <v>735.282587096669</v>
      </c>
      <c r="E207" s="27" t="n">
        <f aca="false">F206*$B$10</f>
        <v>1340.23132192162</v>
      </c>
      <c r="F207" s="27" t="n">
        <f aca="false">MAX(0,F206-D207)</f>
        <v>237528.063532302</v>
      </c>
    </row>
    <row r="208" customFormat="false" ht="15" hidden="false" customHeight="false" outlineLevel="0" collapsed="false">
      <c r="A208" s="14" t="n">
        <v>177</v>
      </c>
      <c r="B208" s="57" t="n">
        <f aca="false">EDATE($B$12,A208)</f>
        <v>51410</v>
      </c>
      <c r="C208" s="27" t="n">
        <f aca="false">$B$13</f>
        <v>2075.51390901829</v>
      </c>
      <c r="D208" s="27" t="n">
        <f aca="false">C208-E208</f>
        <v>739.418551649088</v>
      </c>
      <c r="E208" s="27" t="n">
        <f aca="false">F207*$B$10</f>
        <v>1336.0953573692</v>
      </c>
      <c r="F208" s="27" t="n">
        <f aca="false">MAX(0,F207-D208)</f>
        <v>236788.644980653</v>
      </c>
    </row>
    <row r="209" customFormat="false" ht="15" hidden="false" customHeight="false" outlineLevel="0" collapsed="false">
      <c r="A209" s="14" t="n">
        <v>178</v>
      </c>
      <c r="B209" s="57" t="n">
        <f aca="false">EDATE($B$12,A209)</f>
        <v>51441</v>
      </c>
      <c r="C209" s="27" t="n">
        <f aca="false">$B$13</f>
        <v>2075.51390901829</v>
      </c>
      <c r="D209" s="27" t="n">
        <f aca="false">C209-E209</f>
        <v>743.577781002114</v>
      </c>
      <c r="E209" s="27" t="n">
        <f aca="false">F208*$B$10</f>
        <v>1331.93612801618</v>
      </c>
      <c r="F209" s="27" t="n">
        <f aca="false">MAX(0,F208-D209)</f>
        <v>236045.067199651</v>
      </c>
    </row>
    <row r="210" customFormat="false" ht="15" hidden="false" customHeight="false" outlineLevel="0" collapsed="false">
      <c r="A210" s="14" t="n">
        <v>179</v>
      </c>
      <c r="B210" s="57" t="n">
        <f aca="false">EDATE($B$12,A210)</f>
        <v>51471</v>
      </c>
      <c r="C210" s="27" t="n">
        <f aca="false">$B$13</f>
        <v>2075.51390901829</v>
      </c>
      <c r="D210" s="27" t="n">
        <f aca="false">C210-E210</f>
        <v>747.760406020251</v>
      </c>
      <c r="E210" s="27" t="n">
        <f aca="false">F209*$B$10</f>
        <v>1327.75350299804</v>
      </c>
      <c r="F210" s="27" t="n">
        <f aca="false">MAX(0,F209-D210)</f>
        <v>235297.306793631</v>
      </c>
    </row>
    <row r="211" customFormat="false" ht="15" hidden="false" customHeight="false" outlineLevel="0" collapsed="false">
      <c r="A211" s="14" t="n">
        <v>180</v>
      </c>
      <c r="B211" s="57" t="n">
        <f aca="false">EDATE($B$12,A211)</f>
        <v>51502</v>
      </c>
      <c r="C211" s="27" t="n">
        <f aca="false">$B$13</f>
        <v>2075.51390901829</v>
      </c>
      <c r="D211" s="27" t="n">
        <f aca="false">C211-E211</f>
        <v>751.966558304115</v>
      </c>
      <c r="E211" s="27" t="n">
        <f aca="false">F210*$B$10</f>
        <v>1323.54735071417</v>
      </c>
      <c r="F211" s="27" t="n">
        <f aca="false">MAX(0,F210-D211)</f>
        <v>234545.340235327</v>
      </c>
    </row>
    <row r="212" customFormat="false" ht="15" hidden="false" customHeight="false" outlineLevel="0" collapsed="false">
      <c r="A212" s="14" t="n">
        <v>181</v>
      </c>
      <c r="B212" s="57" t="n">
        <f aca="false">EDATE($B$12,A212)</f>
        <v>51533</v>
      </c>
      <c r="C212" s="27" t="n">
        <f aca="false">$B$13</f>
        <v>2075.51390901829</v>
      </c>
      <c r="D212" s="27" t="n">
        <f aca="false">C212-E212</f>
        <v>756.196370194575</v>
      </c>
      <c r="E212" s="27" t="n">
        <f aca="false">F211*$B$10</f>
        <v>1319.31753882371</v>
      </c>
      <c r="F212" s="27" t="n">
        <f aca="false">MAX(0,F211-D212)</f>
        <v>233789.143865132</v>
      </c>
    </row>
    <row r="213" customFormat="false" ht="15" hidden="false" customHeight="false" outlineLevel="0" collapsed="false">
      <c r="A213" s="14" t="n">
        <v>182</v>
      </c>
      <c r="B213" s="57" t="n">
        <f aca="false">EDATE($B$12,A213)</f>
        <v>51561</v>
      </c>
      <c r="C213" s="27" t="n">
        <f aca="false">$B$13</f>
        <v>2075.51390901829</v>
      </c>
      <c r="D213" s="27" t="n">
        <f aca="false">C213-E213</f>
        <v>760.44997477692</v>
      </c>
      <c r="E213" s="27" t="n">
        <f aca="false">F212*$B$10</f>
        <v>1315.06393424137</v>
      </c>
      <c r="F213" s="27" t="n">
        <f aca="false">MAX(0,F212-D213)</f>
        <v>233028.693890355</v>
      </c>
    </row>
    <row r="214" customFormat="false" ht="15" hidden="false" customHeight="false" outlineLevel="0" collapsed="false">
      <c r="A214" s="14" t="n">
        <v>183</v>
      </c>
      <c r="B214" s="57" t="n">
        <f aca="false">EDATE($B$12,A214)</f>
        <v>51592</v>
      </c>
      <c r="C214" s="27" t="n">
        <f aca="false">$B$13</f>
        <v>2075.51390901829</v>
      </c>
      <c r="D214" s="27" t="n">
        <f aca="false">C214-E214</f>
        <v>764.72750588504</v>
      </c>
      <c r="E214" s="27" t="n">
        <f aca="false">F213*$B$10</f>
        <v>1310.78640313325</v>
      </c>
      <c r="F214" s="27" t="n">
        <f aca="false">MAX(0,F213-D214)</f>
        <v>232263.96638447</v>
      </c>
    </row>
    <row r="215" customFormat="false" ht="15" hidden="false" customHeight="false" outlineLevel="0" collapsed="false">
      <c r="A215" s="14" t="n">
        <v>184</v>
      </c>
      <c r="B215" s="57" t="n">
        <f aca="false">EDATE($B$12,A215)</f>
        <v>51622</v>
      </c>
      <c r="C215" s="27" t="n">
        <f aca="false">$B$13</f>
        <v>2075.51390901829</v>
      </c>
      <c r="D215" s="27" t="n">
        <f aca="false">C215-E215</f>
        <v>769.029098105643</v>
      </c>
      <c r="E215" s="27" t="n">
        <f aca="false">F214*$B$10</f>
        <v>1306.48481091265</v>
      </c>
      <c r="F215" s="27" t="n">
        <f aca="false">MAX(0,F214-D215)</f>
        <v>231494.937286365</v>
      </c>
    </row>
    <row r="216" customFormat="false" ht="15" hidden="false" customHeight="false" outlineLevel="0" collapsed="false">
      <c r="A216" s="14" t="n">
        <v>185</v>
      </c>
      <c r="B216" s="57" t="n">
        <f aca="false">EDATE($B$12,A216)</f>
        <v>51653</v>
      </c>
      <c r="C216" s="27" t="n">
        <f aca="false">$B$13</f>
        <v>2075.51390901829</v>
      </c>
      <c r="D216" s="27" t="n">
        <f aca="false">C216-E216</f>
        <v>773.354886782488</v>
      </c>
      <c r="E216" s="27" t="n">
        <f aca="false">F215*$B$10</f>
        <v>1302.1590222358</v>
      </c>
      <c r="F216" s="27" t="n">
        <f aca="false">MAX(0,F215-D216)</f>
        <v>230721.582399582</v>
      </c>
    </row>
    <row r="217" customFormat="false" ht="15" hidden="false" customHeight="false" outlineLevel="0" collapsed="false">
      <c r="A217" s="14" t="n">
        <v>186</v>
      </c>
      <c r="B217" s="57" t="n">
        <f aca="false">EDATE($B$12,A217)</f>
        <v>51683</v>
      </c>
      <c r="C217" s="27" t="n">
        <f aca="false">$B$13</f>
        <v>2075.51390901829</v>
      </c>
      <c r="D217" s="27" t="n">
        <f aca="false">C217-E217</f>
        <v>777.705008020639</v>
      </c>
      <c r="E217" s="27" t="n">
        <f aca="false">F216*$B$10</f>
        <v>1297.80890099765</v>
      </c>
      <c r="F217" s="27" t="n">
        <f aca="false">MAX(0,F216-D217)</f>
        <v>229943.877391562</v>
      </c>
    </row>
    <row r="218" customFormat="false" ht="15" hidden="false" customHeight="false" outlineLevel="0" collapsed="false">
      <c r="A218" s="14" t="n">
        <v>187</v>
      </c>
      <c r="B218" s="57" t="n">
        <f aca="false">EDATE($B$12,A218)</f>
        <v>51714</v>
      </c>
      <c r="C218" s="27" t="n">
        <f aca="false">$B$13</f>
        <v>2075.51390901829</v>
      </c>
      <c r="D218" s="27" t="n">
        <f aca="false">C218-E218</f>
        <v>782.079598690755</v>
      </c>
      <c r="E218" s="27" t="n">
        <f aca="false">F217*$B$10</f>
        <v>1293.43431032753</v>
      </c>
      <c r="F218" s="27" t="n">
        <f aca="false">MAX(0,F217-D218)</f>
        <v>229161.797792871</v>
      </c>
    </row>
    <row r="219" customFormat="false" ht="15" hidden="false" customHeight="false" outlineLevel="0" collapsed="false">
      <c r="A219" s="14" t="n">
        <v>188</v>
      </c>
      <c r="B219" s="57" t="n">
        <f aca="false">EDATE($B$12,A219)</f>
        <v>51745</v>
      </c>
      <c r="C219" s="27" t="n">
        <f aca="false">$B$13</f>
        <v>2075.51390901829</v>
      </c>
      <c r="D219" s="27" t="n">
        <f aca="false">C219-E219</f>
        <v>786.478796433391</v>
      </c>
      <c r="E219" s="27" t="n">
        <f aca="false">F218*$B$10</f>
        <v>1289.0351125849</v>
      </c>
      <c r="F219" s="27" t="n">
        <f aca="false">MAX(0,F218-D219)</f>
        <v>228375.318996437</v>
      </c>
    </row>
    <row r="220" customFormat="false" ht="15" hidden="false" customHeight="false" outlineLevel="0" collapsed="false">
      <c r="A220" s="14" t="n">
        <v>189</v>
      </c>
      <c r="B220" s="57" t="n">
        <f aca="false">EDATE($B$12,A220)</f>
        <v>51775</v>
      </c>
      <c r="C220" s="27" t="n">
        <f aca="false">$B$13</f>
        <v>2075.51390901829</v>
      </c>
      <c r="D220" s="27" t="n">
        <f aca="false">C220-E220</f>
        <v>790.902739663329</v>
      </c>
      <c r="E220" s="27" t="n">
        <f aca="false">F219*$B$10</f>
        <v>1284.61116935496</v>
      </c>
      <c r="F220" s="27" t="n">
        <f aca="false">MAX(0,F219-D220)</f>
        <v>227584.416256774</v>
      </c>
    </row>
    <row r="221" customFormat="false" ht="15" hidden="false" customHeight="false" outlineLevel="0" collapsed="false">
      <c r="A221" s="14" t="n">
        <v>190</v>
      </c>
      <c r="B221" s="57" t="n">
        <f aca="false">EDATE($B$12,A221)</f>
        <v>51806</v>
      </c>
      <c r="C221" s="27" t="n">
        <f aca="false">$B$13</f>
        <v>2075.51390901829</v>
      </c>
      <c r="D221" s="27" t="n">
        <f aca="false">C221-E221</f>
        <v>795.351567573935</v>
      </c>
      <c r="E221" s="27" t="n">
        <f aca="false">F220*$B$10</f>
        <v>1280.16234144435</v>
      </c>
      <c r="F221" s="27" t="n">
        <f aca="false">MAX(0,F220-D221)</f>
        <v>226789.0646892</v>
      </c>
    </row>
    <row r="222" customFormat="false" ht="15" hidden="false" customHeight="false" outlineLevel="0" collapsed="false">
      <c r="A222" s="14" t="n">
        <v>191</v>
      </c>
      <c r="B222" s="57" t="n">
        <f aca="false">EDATE($B$12,A222)</f>
        <v>51836</v>
      </c>
      <c r="C222" s="27" t="n">
        <f aca="false">$B$13</f>
        <v>2075.51390901829</v>
      </c>
      <c r="D222" s="27" t="n">
        <f aca="false">C222-E222</f>
        <v>799.825420141538</v>
      </c>
      <c r="E222" s="27" t="n">
        <f aca="false">F221*$B$10</f>
        <v>1275.68848887675</v>
      </c>
      <c r="F222" s="27" t="n">
        <f aca="false">MAX(0,F221-D222)</f>
        <v>225989.239269059</v>
      </c>
    </row>
    <row r="223" customFormat="false" ht="15" hidden="false" customHeight="false" outlineLevel="0" collapsed="false">
      <c r="A223" s="14" t="n">
        <v>192</v>
      </c>
      <c r="B223" s="57" t="n">
        <f aca="false">EDATE($B$12,A223)</f>
        <v>51867</v>
      </c>
      <c r="C223" s="27" t="n">
        <f aca="false">$B$13</f>
        <v>2075.51390901829</v>
      </c>
      <c r="D223" s="27" t="n">
        <f aca="false">C223-E223</f>
        <v>804.324438129834</v>
      </c>
      <c r="E223" s="27" t="n">
        <f aca="false">F222*$B$10</f>
        <v>1271.18947088845</v>
      </c>
      <c r="F223" s="27" t="n">
        <f aca="false">MAX(0,F222-D223)</f>
        <v>225184.914830929</v>
      </c>
    </row>
    <row r="224" customFormat="false" ht="15" hidden="false" customHeight="false" outlineLevel="0" collapsed="false">
      <c r="A224" s="14" t="n">
        <v>193</v>
      </c>
      <c r="B224" s="57" t="n">
        <f aca="false">EDATE($B$12,A224)</f>
        <v>51898</v>
      </c>
      <c r="C224" s="27" t="n">
        <f aca="false">$B$13</f>
        <v>2075.51390901829</v>
      </c>
      <c r="D224" s="27" t="n">
        <f aca="false">C224-E224</f>
        <v>808.848763094315</v>
      </c>
      <c r="E224" s="27" t="n">
        <f aca="false">F223*$B$10</f>
        <v>1266.66514592397</v>
      </c>
      <c r="F224" s="27" t="n">
        <f aca="false">MAX(0,F223-D224)</f>
        <v>224376.066067834</v>
      </c>
    </row>
    <row r="225" customFormat="false" ht="15" hidden="false" customHeight="false" outlineLevel="0" collapsed="false">
      <c r="A225" s="14" t="n">
        <v>194</v>
      </c>
      <c r="B225" s="57" t="n">
        <f aca="false">EDATE($B$12,A225)</f>
        <v>51926</v>
      </c>
      <c r="C225" s="27" t="n">
        <f aca="false">$B$13</f>
        <v>2075.51390901829</v>
      </c>
      <c r="D225" s="27" t="n">
        <f aca="false">C225-E225</f>
        <v>813.39853738672</v>
      </c>
      <c r="E225" s="27" t="n">
        <f aca="false">F224*$B$10</f>
        <v>1262.11537163157</v>
      </c>
      <c r="F225" s="27" t="n">
        <f aca="false">MAX(0,F224-D225)</f>
        <v>223562.667530448</v>
      </c>
    </row>
    <row r="226" customFormat="false" ht="15" hidden="false" customHeight="false" outlineLevel="0" collapsed="false">
      <c r="A226" s="14" t="n">
        <v>195</v>
      </c>
      <c r="B226" s="57" t="n">
        <f aca="false">EDATE($B$12,A226)</f>
        <v>51957</v>
      </c>
      <c r="C226" s="27" t="n">
        <f aca="false">$B$13</f>
        <v>2075.51390901829</v>
      </c>
      <c r="D226" s="27" t="n">
        <f aca="false">C226-E226</f>
        <v>817.973904159521</v>
      </c>
      <c r="E226" s="27" t="n">
        <f aca="false">F225*$B$10</f>
        <v>1257.54000485877</v>
      </c>
      <c r="F226" s="27" t="n">
        <f aca="false">MAX(0,F225-D226)</f>
        <v>222744.693626288</v>
      </c>
    </row>
    <row r="227" customFormat="false" ht="15" hidden="false" customHeight="false" outlineLevel="0" collapsed="false">
      <c r="A227" s="14" t="n">
        <v>196</v>
      </c>
      <c r="B227" s="57" t="n">
        <f aca="false">EDATE($B$12,A227)</f>
        <v>51987</v>
      </c>
      <c r="C227" s="27" t="n">
        <f aca="false">$B$13</f>
        <v>2075.51390901829</v>
      </c>
      <c r="D227" s="27" t="n">
        <f aca="false">C227-E227</f>
        <v>822.575007370418</v>
      </c>
      <c r="E227" s="27" t="n">
        <f aca="false">F226*$B$10</f>
        <v>1252.93890164787</v>
      </c>
      <c r="F227" s="27" t="n">
        <f aca="false">MAX(0,F226-D227)</f>
        <v>221922.118618918</v>
      </c>
    </row>
    <row r="228" customFormat="false" ht="15" hidden="false" customHeight="false" outlineLevel="0" collapsed="false">
      <c r="A228" s="14" t="n">
        <v>197</v>
      </c>
      <c r="B228" s="57" t="n">
        <f aca="false">EDATE($B$12,A228)</f>
        <v>52018</v>
      </c>
      <c r="C228" s="27" t="n">
        <f aca="false">$B$13</f>
        <v>2075.51390901829</v>
      </c>
      <c r="D228" s="27" t="n">
        <f aca="false">C228-E228</f>
        <v>827.201991786876</v>
      </c>
      <c r="E228" s="27" t="n">
        <f aca="false">F227*$B$10</f>
        <v>1248.31191723141</v>
      </c>
      <c r="F228" s="27" t="n">
        <f aca="false">MAX(0,F227-D228)</f>
        <v>221094.916627131</v>
      </c>
    </row>
    <row r="229" customFormat="false" ht="15" hidden="false" customHeight="false" outlineLevel="0" collapsed="false">
      <c r="A229" s="14" t="n">
        <v>198</v>
      </c>
      <c r="B229" s="57" t="n">
        <f aca="false">EDATE($B$12,A229)</f>
        <v>52048</v>
      </c>
      <c r="C229" s="27" t="n">
        <f aca="false">$B$13</f>
        <v>2075.51390901829</v>
      </c>
      <c r="D229" s="27" t="n">
        <f aca="false">C229-E229</f>
        <v>831.855002990678</v>
      </c>
      <c r="E229" s="27" t="n">
        <f aca="false">F228*$B$10</f>
        <v>1243.65890602761</v>
      </c>
      <c r="F229" s="27" t="n">
        <f aca="false">MAX(0,F228-D229)</f>
        <v>220263.06162414</v>
      </c>
    </row>
    <row r="230" customFormat="false" ht="15" hidden="false" customHeight="false" outlineLevel="0" collapsed="false">
      <c r="A230" s="14" t="n">
        <v>199</v>
      </c>
      <c r="B230" s="57" t="n">
        <f aca="false">EDATE($B$12,A230)</f>
        <v>52079</v>
      </c>
      <c r="C230" s="27" t="n">
        <f aca="false">$B$13</f>
        <v>2075.51390901829</v>
      </c>
      <c r="D230" s="27" t="n">
        <f aca="false">C230-E230</f>
        <v>836.5341873825</v>
      </c>
      <c r="E230" s="27" t="n">
        <f aca="false">F229*$B$10</f>
        <v>1238.97972163579</v>
      </c>
      <c r="F230" s="27" t="n">
        <f aca="false">MAX(0,F229-D230)</f>
        <v>219426.527436758</v>
      </c>
    </row>
    <row r="231" customFormat="false" ht="15" hidden="false" customHeight="false" outlineLevel="0" collapsed="false">
      <c r="A231" s="14" t="n">
        <v>200</v>
      </c>
      <c r="B231" s="57" t="n">
        <f aca="false">EDATE($B$12,A231)</f>
        <v>52110</v>
      </c>
      <c r="C231" s="27" t="n">
        <f aca="false">$B$13</f>
        <v>2075.51390901829</v>
      </c>
      <c r="D231" s="27" t="n">
        <f aca="false">C231-E231</f>
        <v>841.239692186527</v>
      </c>
      <c r="E231" s="27" t="n">
        <f aca="false">F230*$B$10</f>
        <v>1234.27421683176</v>
      </c>
      <c r="F231" s="27" t="n">
        <f aca="false">MAX(0,F230-D231)</f>
        <v>218585.287744571</v>
      </c>
    </row>
    <row r="232" customFormat="false" ht="15" hidden="false" customHeight="false" outlineLevel="0" collapsed="false">
      <c r="A232" s="14" t="n">
        <v>201</v>
      </c>
      <c r="B232" s="57" t="n">
        <f aca="false">EDATE($B$12,A232)</f>
        <v>52140</v>
      </c>
      <c r="C232" s="27" t="n">
        <f aca="false">$B$13</f>
        <v>2075.51390901829</v>
      </c>
      <c r="D232" s="27" t="n">
        <f aca="false">C232-E232</f>
        <v>845.971665455076</v>
      </c>
      <c r="E232" s="27" t="n">
        <f aca="false">F231*$B$10</f>
        <v>1229.54224356321</v>
      </c>
      <c r="F232" s="27" t="n">
        <f aca="false">MAX(0,F231-D232)</f>
        <v>217739.316079116</v>
      </c>
    </row>
    <row r="233" customFormat="false" ht="15" hidden="false" customHeight="false" outlineLevel="0" collapsed="false">
      <c r="A233" s="14" t="n">
        <v>202</v>
      </c>
      <c r="B233" s="57" t="n">
        <f aca="false">EDATE($B$12,A233)</f>
        <v>52171</v>
      </c>
      <c r="C233" s="27" t="n">
        <f aca="false">$B$13</f>
        <v>2075.51390901829</v>
      </c>
      <c r="D233" s="27" t="n">
        <f aca="false">C233-E233</f>
        <v>850.730256073261</v>
      </c>
      <c r="E233" s="27" t="n">
        <f aca="false">F232*$B$10</f>
        <v>1224.78365294503</v>
      </c>
      <c r="F233" s="27" t="n">
        <f aca="false">MAX(0,F232-D233)</f>
        <v>216888.585823043</v>
      </c>
    </row>
    <row r="234" customFormat="false" ht="15" hidden="false" customHeight="false" outlineLevel="0" collapsed="false">
      <c r="A234" s="14" t="n">
        <v>203</v>
      </c>
      <c r="B234" s="57" t="n">
        <f aca="false">EDATE($B$12,A234)</f>
        <v>52201</v>
      </c>
      <c r="C234" s="27" t="n">
        <f aca="false">$B$13</f>
        <v>2075.51390901829</v>
      </c>
      <c r="D234" s="27" t="n">
        <f aca="false">C234-E234</f>
        <v>855.515613763673</v>
      </c>
      <c r="E234" s="27" t="n">
        <f aca="false">F233*$B$10</f>
        <v>1219.99829525462</v>
      </c>
      <c r="F234" s="27" t="n">
        <f aca="false">MAX(0,F233-D234)</f>
        <v>216033.070209279</v>
      </c>
    </row>
    <row r="235" customFormat="false" ht="15" hidden="false" customHeight="false" outlineLevel="0" collapsed="false">
      <c r="A235" s="14" t="n">
        <v>204</v>
      </c>
      <c r="B235" s="57" t="n">
        <f aca="false">EDATE($B$12,A235)</f>
        <v>52232</v>
      </c>
      <c r="C235" s="27" t="n">
        <f aca="false">$B$13</f>
        <v>2075.51390901829</v>
      </c>
      <c r="D235" s="27" t="n">
        <f aca="false">C235-E235</f>
        <v>860.327889091094</v>
      </c>
      <c r="E235" s="27" t="n">
        <f aca="false">F234*$B$10</f>
        <v>1215.1860199272</v>
      </c>
      <c r="F235" s="27" t="n">
        <f aca="false">MAX(0,F234-D235)</f>
        <v>215172.742320188</v>
      </c>
    </row>
    <row r="236" customFormat="false" ht="15" hidden="false" customHeight="false" outlineLevel="0" collapsed="false">
      <c r="A236" s="14" t="n">
        <v>205</v>
      </c>
      <c r="B236" s="57" t="n">
        <f aca="false">EDATE($B$12,A236)</f>
        <v>52263</v>
      </c>
      <c r="C236" s="27" t="n">
        <f aca="false">$B$13</f>
        <v>2075.51390901829</v>
      </c>
      <c r="D236" s="27" t="n">
        <f aca="false">C236-E236</f>
        <v>865.167233467231</v>
      </c>
      <c r="E236" s="27" t="n">
        <f aca="false">F235*$B$10</f>
        <v>1210.34667555106</v>
      </c>
      <c r="F236" s="27" t="n">
        <f aca="false">MAX(0,F235-D236)</f>
        <v>214307.575086721</v>
      </c>
    </row>
    <row r="237" customFormat="false" ht="15" hidden="false" customHeight="false" outlineLevel="0" collapsed="false">
      <c r="A237" s="14" t="n">
        <v>206</v>
      </c>
      <c r="B237" s="57" t="n">
        <f aca="false">EDATE($B$12,A237)</f>
        <v>52291</v>
      </c>
      <c r="C237" s="27" t="n">
        <f aca="false">$B$13</f>
        <v>2075.51390901829</v>
      </c>
      <c r="D237" s="27" t="n">
        <f aca="false">C237-E237</f>
        <v>870.033799155484</v>
      </c>
      <c r="E237" s="27" t="n">
        <f aca="false">F236*$B$10</f>
        <v>1205.4801098628</v>
      </c>
      <c r="F237" s="27" t="n">
        <f aca="false">MAX(0,F236-D237)</f>
        <v>213437.541287565</v>
      </c>
    </row>
    <row r="238" customFormat="false" ht="15" hidden="false" customHeight="false" outlineLevel="0" collapsed="false">
      <c r="A238" s="14" t="n">
        <v>207</v>
      </c>
      <c r="B238" s="57" t="n">
        <f aca="false">EDATE($B$12,A238)</f>
        <v>52322</v>
      </c>
      <c r="C238" s="27" t="n">
        <f aca="false">$B$13</f>
        <v>2075.51390901829</v>
      </c>
      <c r="D238" s="27" t="n">
        <f aca="false">C238-E238</f>
        <v>874.927739275734</v>
      </c>
      <c r="E238" s="27" t="n">
        <f aca="false">F237*$B$10</f>
        <v>1200.58616974256</v>
      </c>
      <c r="F238" s="27" t="n">
        <f aca="false">MAX(0,F237-D238)</f>
        <v>212562.61354829</v>
      </c>
    </row>
    <row r="239" customFormat="false" ht="15" hidden="false" customHeight="false" outlineLevel="0" collapsed="false">
      <c r="A239" s="14" t="n">
        <v>208</v>
      </c>
      <c r="B239" s="57" t="n">
        <f aca="false">EDATE($B$12,A239)</f>
        <v>52352</v>
      </c>
      <c r="C239" s="27" t="n">
        <f aca="false">$B$13</f>
        <v>2075.51390901829</v>
      </c>
      <c r="D239" s="27" t="n">
        <f aca="false">C239-E239</f>
        <v>879.84920780916</v>
      </c>
      <c r="E239" s="27" t="n">
        <f aca="false">F238*$B$10</f>
        <v>1195.66470120913</v>
      </c>
      <c r="F239" s="27" t="n">
        <f aca="false">MAX(0,F238-D239)</f>
        <v>211682.76434048</v>
      </c>
    </row>
    <row r="240" customFormat="false" ht="15" hidden="false" customHeight="false" outlineLevel="0" collapsed="false">
      <c r="A240" s="14" t="n">
        <v>209</v>
      </c>
      <c r="B240" s="57" t="n">
        <f aca="false">EDATE($B$12,A240)</f>
        <v>52383</v>
      </c>
      <c r="C240" s="27" t="n">
        <f aca="false">$B$13</f>
        <v>2075.51390901829</v>
      </c>
      <c r="D240" s="27" t="n">
        <f aca="false">C240-E240</f>
        <v>884.798359603086</v>
      </c>
      <c r="E240" s="27" t="n">
        <f aca="false">F239*$B$10</f>
        <v>1190.7155494152</v>
      </c>
      <c r="F240" s="27" t="n">
        <f aca="false">MAX(0,F239-D240)</f>
        <v>210797.965980877</v>
      </c>
    </row>
    <row r="241" customFormat="false" ht="15" hidden="false" customHeight="false" outlineLevel="0" collapsed="false">
      <c r="A241" s="14" t="n">
        <v>210</v>
      </c>
      <c r="B241" s="57" t="n">
        <f aca="false">EDATE($B$12,A241)</f>
        <v>52413</v>
      </c>
      <c r="C241" s="27" t="n">
        <f aca="false">$B$13</f>
        <v>2075.51390901829</v>
      </c>
      <c r="D241" s="27" t="n">
        <f aca="false">C241-E241</f>
        <v>889.775350375854</v>
      </c>
      <c r="E241" s="27" t="n">
        <f aca="false">F240*$B$10</f>
        <v>1185.73855864244</v>
      </c>
      <c r="F241" s="27" t="n">
        <f aca="false">MAX(0,F240-D241)</f>
        <v>209908.190630501</v>
      </c>
    </row>
    <row r="242" customFormat="false" ht="15" hidden="false" customHeight="false" outlineLevel="0" collapsed="false">
      <c r="A242" s="14" t="n">
        <v>211</v>
      </c>
      <c r="B242" s="57" t="n">
        <f aca="false">EDATE($B$12,A242)</f>
        <v>52444</v>
      </c>
      <c r="C242" s="27" t="n">
        <f aca="false">$B$13</f>
        <v>2075.51390901829</v>
      </c>
      <c r="D242" s="27" t="n">
        <f aca="false">C242-E242</f>
        <v>894.780336721718</v>
      </c>
      <c r="E242" s="27" t="n">
        <f aca="false">F241*$B$10</f>
        <v>1180.73357229657</v>
      </c>
      <c r="F242" s="27" t="n">
        <f aca="false">MAX(0,F241-D242)</f>
        <v>209013.41029378</v>
      </c>
    </row>
    <row r="243" customFormat="false" ht="15" hidden="false" customHeight="false" outlineLevel="0" collapsed="false">
      <c r="A243" s="14" t="n">
        <v>212</v>
      </c>
      <c r="B243" s="57" t="n">
        <f aca="false">EDATE($B$12,A243)</f>
        <v>52475</v>
      </c>
      <c r="C243" s="27" t="n">
        <f aca="false">$B$13</f>
        <v>2075.51390901829</v>
      </c>
      <c r="D243" s="27" t="n">
        <f aca="false">C243-E243</f>
        <v>899.813476115778</v>
      </c>
      <c r="E243" s="27" t="n">
        <f aca="false">F242*$B$10</f>
        <v>1175.70043290251</v>
      </c>
      <c r="F243" s="27" t="n">
        <f aca="false">MAX(0,F242-D243)</f>
        <v>208113.596817664</v>
      </c>
    </row>
    <row r="244" customFormat="false" ht="15" hidden="false" customHeight="false" outlineLevel="0" collapsed="false">
      <c r="A244" s="14" t="n">
        <v>213</v>
      </c>
      <c r="B244" s="57" t="n">
        <f aca="false">EDATE($B$12,A244)</f>
        <v>52505</v>
      </c>
      <c r="C244" s="27" t="n">
        <f aca="false">$B$13</f>
        <v>2075.51390901829</v>
      </c>
      <c r="D244" s="27" t="n">
        <f aca="false">C244-E244</f>
        <v>904.874926918929</v>
      </c>
      <c r="E244" s="27" t="n">
        <f aca="false">F243*$B$10</f>
        <v>1170.63898209936</v>
      </c>
      <c r="F244" s="27" t="n">
        <f aca="false">MAX(0,F243-D244)</f>
        <v>207208.721890745</v>
      </c>
    </row>
    <row r="245" customFormat="false" ht="15" hidden="false" customHeight="false" outlineLevel="0" collapsed="false">
      <c r="A245" s="14" t="n">
        <v>214</v>
      </c>
      <c r="B245" s="57" t="n">
        <f aca="false">EDATE($B$12,A245)</f>
        <v>52536</v>
      </c>
      <c r="C245" s="27" t="n">
        <f aca="false">$B$13</f>
        <v>2075.51390901829</v>
      </c>
      <c r="D245" s="27" t="n">
        <f aca="false">C245-E245</f>
        <v>909.964848382848</v>
      </c>
      <c r="E245" s="27" t="n">
        <f aca="false">F244*$B$10</f>
        <v>1165.54906063544</v>
      </c>
      <c r="F245" s="27" t="n">
        <f aca="false">MAX(0,F244-D245)</f>
        <v>206298.757042362</v>
      </c>
    </row>
    <row r="246" customFormat="false" ht="15" hidden="false" customHeight="false" outlineLevel="0" collapsed="false">
      <c r="A246" s="14" t="n">
        <v>215</v>
      </c>
      <c r="B246" s="57" t="n">
        <f aca="false">EDATE($B$12,A246)</f>
        <v>52566</v>
      </c>
      <c r="C246" s="27" t="n">
        <f aca="false">$B$13</f>
        <v>2075.51390901829</v>
      </c>
      <c r="D246" s="27" t="n">
        <f aca="false">C246-E246</f>
        <v>915.083400655002</v>
      </c>
      <c r="E246" s="27" t="n">
        <f aca="false">F245*$B$10</f>
        <v>1160.43050836329</v>
      </c>
      <c r="F246" s="27" t="n">
        <f aca="false">MAX(0,F245-D246)</f>
        <v>205383.673641707</v>
      </c>
    </row>
    <row r="247" customFormat="false" ht="15" hidden="false" customHeight="false" outlineLevel="0" collapsed="false">
      <c r="A247" s="14" t="n">
        <v>216</v>
      </c>
      <c r="B247" s="57" t="n">
        <f aca="false">EDATE($B$12,A247)</f>
        <v>52597</v>
      </c>
      <c r="C247" s="27" t="n">
        <f aca="false">$B$13</f>
        <v>2075.51390901829</v>
      </c>
      <c r="D247" s="27" t="n">
        <f aca="false">C247-E247</f>
        <v>920.230744783686</v>
      </c>
      <c r="E247" s="27" t="n">
        <f aca="false">F246*$B$10</f>
        <v>1155.2831642346</v>
      </c>
      <c r="F247" s="27" t="n">
        <f aca="false">MAX(0,F246-D247)</f>
        <v>204463.442896924</v>
      </c>
    </row>
    <row r="248" customFormat="false" ht="15" hidden="false" customHeight="false" outlineLevel="0" collapsed="false">
      <c r="A248" s="14" t="n">
        <v>217</v>
      </c>
      <c r="B248" s="57" t="n">
        <f aca="false">EDATE($B$12,A248)</f>
        <v>52628</v>
      </c>
      <c r="C248" s="27" t="n">
        <f aca="false">$B$13</f>
        <v>2075.51390901829</v>
      </c>
      <c r="D248" s="27" t="n">
        <f aca="false">C248-E248</f>
        <v>925.407042723094</v>
      </c>
      <c r="E248" s="27" t="n">
        <f aca="false">F247*$B$10</f>
        <v>1150.10686629519</v>
      </c>
      <c r="F248" s="27" t="n">
        <f aca="false">MAX(0,F247-D248)</f>
        <v>203538.0358542</v>
      </c>
    </row>
    <row r="249" customFormat="false" ht="15" hidden="false" customHeight="false" outlineLevel="0" collapsed="false">
      <c r="A249" s="14" t="n">
        <v>218</v>
      </c>
      <c r="B249" s="57" t="n">
        <f aca="false">EDATE($B$12,A249)</f>
        <v>52657</v>
      </c>
      <c r="C249" s="27" t="n">
        <f aca="false">$B$13</f>
        <v>2075.51390901829</v>
      </c>
      <c r="D249" s="27" t="n">
        <f aca="false">C249-E249</f>
        <v>930.612457338412</v>
      </c>
      <c r="E249" s="27" t="n">
        <f aca="false">F248*$B$10</f>
        <v>1144.90145167988</v>
      </c>
      <c r="F249" s="27" t="n">
        <f aca="false">MAX(0,F248-D249)</f>
        <v>202607.423396862</v>
      </c>
    </row>
    <row r="250" customFormat="false" ht="15" hidden="false" customHeight="false" outlineLevel="0" collapsed="false">
      <c r="A250" s="14" t="n">
        <v>219</v>
      </c>
      <c r="B250" s="57" t="n">
        <f aca="false">EDATE($B$12,A250)</f>
        <v>52688</v>
      </c>
      <c r="C250" s="27" t="n">
        <f aca="false">$B$13</f>
        <v>2075.51390901829</v>
      </c>
      <c r="D250" s="27" t="n">
        <f aca="false">C250-E250</f>
        <v>935.84715241094</v>
      </c>
      <c r="E250" s="27" t="n">
        <f aca="false">F249*$B$10</f>
        <v>1139.66675660735</v>
      </c>
      <c r="F250" s="27" t="n">
        <f aca="false">MAX(0,F249-D250)</f>
        <v>201671.576244451</v>
      </c>
    </row>
    <row r="251" customFormat="false" ht="15" hidden="false" customHeight="false" outlineLevel="0" collapsed="false">
      <c r="A251" s="14" t="n">
        <v>220</v>
      </c>
      <c r="B251" s="57" t="n">
        <f aca="false">EDATE($B$12,A251)</f>
        <v>52718</v>
      </c>
      <c r="C251" s="27" t="n">
        <f aca="false">$B$13</f>
        <v>2075.51390901829</v>
      </c>
      <c r="D251" s="27" t="n">
        <f aca="false">C251-E251</f>
        <v>941.111292643252</v>
      </c>
      <c r="E251" s="27" t="n">
        <f aca="false">F250*$B$10</f>
        <v>1134.40261637504</v>
      </c>
      <c r="F251" s="27" t="n">
        <f aca="false">MAX(0,F250-D251)</f>
        <v>200730.464951808</v>
      </c>
    </row>
    <row r="252" customFormat="false" ht="15" hidden="false" customHeight="false" outlineLevel="0" collapsed="false">
      <c r="A252" s="14" t="n">
        <v>221</v>
      </c>
      <c r="B252" s="57" t="n">
        <f aca="false">EDATE($B$12,A252)</f>
        <v>52749</v>
      </c>
      <c r="C252" s="27" t="n">
        <f aca="false">$B$13</f>
        <v>2075.51390901829</v>
      </c>
      <c r="D252" s="27" t="n">
        <f aca="false">C252-E252</f>
        <v>946.40504366437</v>
      </c>
      <c r="E252" s="27" t="n">
        <f aca="false">F251*$B$10</f>
        <v>1129.10886535392</v>
      </c>
      <c r="F252" s="27" t="n">
        <f aca="false">MAX(0,F251-D252)</f>
        <v>199784.059908143</v>
      </c>
    </row>
    <row r="253" customFormat="false" ht="15" hidden="false" customHeight="false" outlineLevel="0" collapsed="false">
      <c r="A253" s="14" t="n">
        <v>222</v>
      </c>
      <c r="B253" s="57" t="n">
        <f aca="false">EDATE($B$12,A253)</f>
        <v>52779</v>
      </c>
      <c r="C253" s="27" t="n">
        <f aca="false">$B$13</f>
        <v>2075.51390901829</v>
      </c>
      <c r="D253" s="27" t="n">
        <f aca="false">C253-E253</f>
        <v>951.728572034982</v>
      </c>
      <c r="E253" s="27" t="n">
        <f aca="false">F252*$B$10</f>
        <v>1123.78533698331</v>
      </c>
      <c r="F253" s="27" t="n">
        <f aca="false">MAX(0,F252-D253)</f>
        <v>198832.331336108</v>
      </c>
    </row>
    <row r="254" customFormat="false" ht="15" hidden="false" customHeight="false" outlineLevel="0" collapsed="false">
      <c r="A254" s="14" t="n">
        <v>223</v>
      </c>
      <c r="B254" s="57" t="n">
        <f aca="false">EDATE($B$12,A254)</f>
        <v>52810</v>
      </c>
      <c r="C254" s="27" t="n">
        <f aca="false">$B$13</f>
        <v>2075.51390901829</v>
      </c>
      <c r="D254" s="27" t="n">
        <f aca="false">C254-E254</f>
        <v>957.082045252678</v>
      </c>
      <c r="E254" s="27" t="n">
        <f aca="false">F253*$B$10</f>
        <v>1118.43186376561</v>
      </c>
      <c r="F254" s="27" t="n">
        <f aca="false">MAX(0,F253-D254)</f>
        <v>197875.249290856</v>
      </c>
    </row>
    <row r="255" customFormat="false" ht="15" hidden="false" customHeight="false" outlineLevel="0" collapsed="false">
      <c r="A255" s="14" t="n">
        <v>224</v>
      </c>
      <c r="B255" s="57" t="n">
        <f aca="false">EDATE($B$12,A255)</f>
        <v>52841</v>
      </c>
      <c r="C255" s="27" t="n">
        <f aca="false">$B$13</f>
        <v>2075.51390901829</v>
      </c>
      <c r="D255" s="27" t="n">
        <f aca="false">C255-E255</f>
        <v>962.465631757225</v>
      </c>
      <c r="E255" s="27" t="n">
        <f aca="false">F254*$B$10</f>
        <v>1113.04827726106</v>
      </c>
      <c r="F255" s="27" t="n">
        <f aca="false">MAX(0,F254-D255)</f>
        <v>196912.783659099</v>
      </c>
    </row>
    <row r="256" customFormat="false" ht="15" hidden="false" customHeight="false" outlineLevel="0" collapsed="false">
      <c r="A256" s="14" t="n">
        <v>225</v>
      </c>
      <c r="B256" s="57" t="n">
        <f aca="false">EDATE($B$12,A256)</f>
        <v>52871</v>
      </c>
      <c r="C256" s="27" t="n">
        <f aca="false">$B$13</f>
        <v>2075.51390901829</v>
      </c>
      <c r="D256" s="27" t="n">
        <f aca="false">C256-E256</f>
        <v>967.879500935859</v>
      </c>
      <c r="E256" s="27" t="n">
        <f aca="false">F255*$B$10</f>
        <v>1107.63440808243</v>
      </c>
      <c r="F256" s="27" t="n">
        <f aca="false">MAX(0,F255-D256)</f>
        <v>195944.904158163</v>
      </c>
    </row>
    <row r="257" customFormat="false" ht="15" hidden="false" customHeight="false" outlineLevel="0" collapsed="false">
      <c r="A257" s="14" t="n">
        <v>226</v>
      </c>
      <c r="B257" s="57" t="n">
        <f aca="false">EDATE($B$12,A257)</f>
        <v>52902</v>
      </c>
      <c r="C257" s="27" t="n">
        <f aca="false">$B$13</f>
        <v>2075.51390901829</v>
      </c>
      <c r="D257" s="27" t="n">
        <f aca="false">C257-E257</f>
        <v>973.323823128623</v>
      </c>
      <c r="E257" s="27" t="n">
        <f aca="false">F256*$B$10</f>
        <v>1102.19008588967</v>
      </c>
      <c r="F257" s="27" t="n">
        <f aca="false">MAX(0,F256-D257)</f>
        <v>194971.580335034</v>
      </c>
    </row>
    <row r="258" customFormat="false" ht="15" hidden="false" customHeight="false" outlineLevel="0" collapsed="false">
      <c r="A258" s="14" t="n">
        <v>227</v>
      </c>
      <c r="B258" s="57" t="n">
        <f aca="false">EDATE($B$12,A258)</f>
        <v>52932</v>
      </c>
      <c r="C258" s="27" t="n">
        <f aca="false">$B$13</f>
        <v>2075.51390901829</v>
      </c>
      <c r="D258" s="27" t="n">
        <f aca="false">C258-E258</f>
        <v>978.798769633722</v>
      </c>
      <c r="E258" s="27" t="n">
        <f aca="false">F257*$B$10</f>
        <v>1096.71513938457</v>
      </c>
      <c r="F258" s="27" t="n">
        <f aca="false">MAX(0,F257-D258)</f>
        <v>193992.7815654</v>
      </c>
    </row>
    <row r="259" customFormat="false" ht="15" hidden="false" customHeight="false" outlineLevel="0" collapsed="false">
      <c r="A259" s="14" t="n">
        <v>228</v>
      </c>
      <c r="B259" s="57" t="n">
        <f aca="false">EDATE($B$12,A259)</f>
        <v>52963</v>
      </c>
      <c r="C259" s="27" t="n">
        <f aca="false">$B$13</f>
        <v>2075.51390901829</v>
      </c>
      <c r="D259" s="27" t="n">
        <f aca="false">C259-E259</f>
        <v>984.304512712912</v>
      </c>
      <c r="E259" s="27" t="n">
        <f aca="false">F258*$B$10</f>
        <v>1091.20939630538</v>
      </c>
      <c r="F259" s="27" t="n">
        <f aca="false">MAX(0,F258-D259)</f>
        <v>193008.477052687</v>
      </c>
    </row>
    <row r="260" customFormat="false" ht="15" hidden="false" customHeight="false" outlineLevel="0" collapsed="false">
      <c r="A260" s="14" t="n">
        <v>229</v>
      </c>
      <c r="B260" s="57" t="n">
        <f aca="false">EDATE($B$12,A260)</f>
        <v>52994</v>
      </c>
      <c r="C260" s="27" t="n">
        <f aca="false">$B$13</f>
        <v>2075.51390901829</v>
      </c>
      <c r="D260" s="27" t="n">
        <f aca="false">C260-E260</f>
        <v>989.841225596922</v>
      </c>
      <c r="E260" s="27" t="n">
        <f aca="false">F259*$B$10</f>
        <v>1085.67268342137</v>
      </c>
      <c r="F260" s="27" t="n">
        <f aca="false">MAX(0,F259-D260)</f>
        <v>192018.635827091</v>
      </c>
    </row>
    <row r="261" customFormat="false" ht="15" hidden="false" customHeight="false" outlineLevel="0" collapsed="false">
      <c r="A261" s="14" t="n">
        <v>230</v>
      </c>
      <c r="B261" s="57" t="n">
        <f aca="false">EDATE($B$12,A261)</f>
        <v>53022</v>
      </c>
      <c r="C261" s="27" t="n">
        <f aca="false">$B$13</f>
        <v>2075.51390901829</v>
      </c>
      <c r="D261" s="27" t="n">
        <f aca="false">C261-E261</f>
        <v>995.409082490904</v>
      </c>
      <c r="E261" s="27" t="n">
        <f aca="false">F260*$B$10</f>
        <v>1080.10482652738</v>
      </c>
      <c r="F261" s="27" t="n">
        <f aca="false">MAX(0,F260-D261)</f>
        <v>191023.2267446</v>
      </c>
    </row>
    <row r="262" customFormat="false" ht="15" hidden="false" customHeight="false" outlineLevel="0" collapsed="false">
      <c r="A262" s="14" t="n">
        <v>231</v>
      </c>
      <c r="B262" s="57" t="n">
        <f aca="false">EDATE($B$12,A262)</f>
        <v>53053</v>
      </c>
      <c r="C262" s="27" t="n">
        <f aca="false">$B$13</f>
        <v>2075.51390901829</v>
      </c>
      <c r="D262" s="27" t="n">
        <f aca="false">C262-E262</f>
        <v>1001.00825857992</v>
      </c>
      <c r="E262" s="27" t="n">
        <f aca="false">F261*$B$10</f>
        <v>1074.50565043837</v>
      </c>
      <c r="F262" s="27" t="n">
        <f aca="false">MAX(0,F261-D262)</f>
        <v>190022.21848602</v>
      </c>
    </row>
    <row r="263" customFormat="false" ht="15" hidden="false" customHeight="false" outlineLevel="0" collapsed="false">
      <c r="A263" s="14" t="n">
        <v>232</v>
      </c>
      <c r="B263" s="57" t="n">
        <f aca="false">EDATE($B$12,A263)</f>
        <v>53083</v>
      </c>
      <c r="C263" s="27" t="n">
        <f aca="false">$B$13</f>
        <v>2075.51390901829</v>
      </c>
      <c r="D263" s="27" t="n">
        <f aca="false">C263-E263</f>
        <v>1006.63893003443</v>
      </c>
      <c r="E263" s="27" t="n">
        <f aca="false">F262*$B$10</f>
        <v>1068.87497898386</v>
      </c>
      <c r="F263" s="27" t="n">
        <f aca="false">MAX(0,F262-D263)</f>
        <v>189015.579555985</v>
      </c>
    </row>
    <row r="264" customFormat="false" ht="15" hidden="false" customHeight="false" outlineLevel="0" collapsed="false">
      <c r="A264" s="14" t="n">
        <v>233</v>
      </c>
      <c r="B264" s="57" t="n">
        <f aca="false">EDATE($B$12,A264)</f>
        <v>53114</v>
      </c>
      <c r="C264" s="27" t="n">
        <f aca="false">$B$13</f>
        <v>2075.51390901829</v>
      </c>
      <c r="D264" s="27" t="n">
        <f aca="false">C264-E264</f>
        <v>1012.30127401587</v>
      </c>
      <c r="E264" s="27" t="n">
        <f aca="false">F263*$B$10</f>
        <v>1063.21263500242</v>
      </c>
      <c r="F264" s="27" t="n">
        <f aca="false">MAX(0,F263-D264)</f>
        <v>188003.278281969</v>
      </c>
    </row>
    <row r="265" customFormat="false" ht="15" hidden="false" customHeight="false" outlineLevel="0" collapsed="false">
      <c r="A265" s="14" t="n">
        <v>234</v>
      </c>
      <c r="B265" s="57" t="n">
        <f aca="false">EDATE($B$12,A265)</f>
        <v>53144</v>
      </c>
      <c r="C265" s="27" t="n">
        <f aca="false">$B$13</f>
        <v>2075.51390901829</v>
      </c>
      <c r="D265" s="27" t="n">
        <f aca="false">C265-E265</f>
        <v>1017.99546868221</v>
      </c>
      <c r="E265" s="27" t="n">
        <f aca="false">F264*$B$10</f>
        <v>1057.51844033608</v>
      </c>
      <c r="F265" s="27" t="n">
        <f aca="false">MAX(0,F264-D265)</f>
        <v>186985.282813287</v>
      </c>
    </row>
    <row r="266" customFormat="false" ht="15" hidden="false" customHeight="false" outlineLevel="0" collapsed="false">
      <c r="A266" s="14" t="n">
        <v>235</v>
      </c>
      <c r="B266" s="57" t="n">
        <f aca="false">EDATE($B$12,A266)</f>
        <v>53175</v>
      </c>
      <c r="C266" s="27" t="n">
        <f aca="false">$B$13</f>
        <v>2075.51390901829</v>
      </c>
      <c r="D266" s="27" t="n">
        <f aca="false">C266-E266</f>
        <v>1023.72169319355</v>
      </c>
      <c r="E266" s="27" t="n">
        <f aca="false">F265*$B$10</f>
        <v>1051.79221582474</v>
      </c>
      <c r="F266" s="27" t="n">
        <f aca="false">MAX(0,F265-D266)</f>
        <v>185961.561120094</v>
      </c>
    </row>
    <row r="267" customFormat="false" ht="15" hidden="false" customHeight="false" outlineLevel="0" collapsed="false">
      <c r="A267" s="14" t="n">
        <v>236</v>
      </c>
      <c r="B267" s="57" t="n">
        <f aca="false">EDATE($B$12,A267)</f>
        <v>53206</v>
      </c>
      <c r="C267" s="27" t="n">
        <f aca="false">$B$13</f>
        <v>2075.51390901829</v>
      </c>
      <c r="D267" s="27" t="n">
        <f aca="false">C267-E267</f>
        <v>1029.48012771776</v>
      </c>
      <c r="E267" s="27" t="n">
        <f aca="false">F266*$B$10</f>
        <v>1046.03378130053</v>
      </c>
      <c r="F267" s="27" t="n">
        <f aca="false">MAX(0,F266-D267)</f>
        <v>184932.080992376</v>
      </c>
    </row>
    <row r="268" customFormat="false" ht="15" hidden="false" customHeight="false" outlineLevel="0" collapsed="false">
      <c r="A268" s="14" t="n">
        <v>237</v>
      </c>
      <c r="B268" s="57" t="n">
        <f aca="false">EDATE($B$12,A268)</f>
        <v>53236</v>
      </c>
      <c r="C268" s="27" t="n">
        <f aca="false">$B$13</f>
        <v>2075.51390901829</v>
      </c>
      <c r="D268" s="27" t="n">
        <f aca="false">C268-E268</f>
        <v>1035.27095343617</v>
      </c>
      <c r="E268" s="27" t="n">
        <f aca="false">F267*$B$10</f>
        <v>1040.24295558211</v>
      </c>
      <c r="F268" s="27" t="n">
        <f aca="false">MAX(0,F267-D268)</f>
        <v>183896.81003894</v>
      </c>
    </row>
    <row r="269" customFormat="false" ht="15" hidden="false" customHeight="false" outlineLevel="0" collapsed="false">
      <c r="A269" s="14" t="n">
        <v>238</v>
      </c>
      <c r="B269" s="57" t="n">
        <f aca="false">EDATE($B$12,A269)</f>
        <v>53267</v>
      </c>
      <c r="C269" s="27" t="n">
        <f aca="false">$B$13</f>
        <v>2075.51390901829</v>
      </c>
      <c r="D269" s="27" t="n">
        <f aca="false">C269-E269</f>
        <v>1041.09435254925</v>
      </c>
      <c r="E269" s="27" t="n">
        <f aca="false">F268*$B$10</f>
        <v>1034.41955646904</v>
      </c>
      <c r="F269" s="27" t="n">
        <f aca="false">MAX(0,F268-D269)</f>
        <v>182855.715686391</v>
      </c>
    </row>
    <row r="270" customFormat="false" ht="15" hidden="false" customHeight="false" outlineLevel="0" collapsed="false">
      <c r="A270" s="14" t="n">
        <v>239</v>
      </c>
      <c r="B270" s="57" t="n">
        <f aca="false">EDATE($B$12,A270)</f>
        <v>53297</v>
      </c>
      <c r="C270" s="27" t="n">
        <f aca="false">$B$13</f>
        <v>2075.51390901829</v>
      </c>
      <c r="D270" s="27" t="n">
        <f aca="false">C270-E270</f>
        <v>1046.95050828234</v>
      </c>
      <c r="E270" s="27" t="n">
        <f aca="false">F269*$B$10</f>
        <v>1028.56340073595</v>
      </c>
      <c r="F270" s="27" t="n">
        <f aca="false">MAX(0,F269-D270)</f>
        <v>181808.765178108</v>
      </c>
    </row>
    <row r="271" customFormat="false" ht="15" hidden="false" customHeight="false" outlineLevel="0" collapsed="false">
      <c r="A271" s="14" t="n">
        <v>240</v>
      </c>
      <c r="B271" s="57" t="n">
        <f aca="false">EDATE($B$12,A271)</f>
        <v>53328</v>
      </c>
      <c r="C271" s="27" t="n">
        <f aca="false">$B$13</f>
        <v>2075.51390901829</v>
      </c>
      <c r="D271" s="27" t="n">
        <f aca="false">C271-E271</f>
        <v>1052.83960489143</v>
      </c>
      <c r="E271" s="27" t="n">
        <f aca="false">F270*$B$10</f>
        <v>1022.67430412686</v>
      </c>
      <c r="F271" s="27" t="n">
        <f aca="false">MAX(0,F270-D271)</f>
        <v>180755.925573217</v>
      </c>
    </row>
    <row r="272" customFormat="false" ht="15" hidden="false" customHeight="false" outlineLevel="0" collapsed="false">
      <c r="A272" s="14" t="n">
        <v>241</v>
      </c>
      <c r="B272" s="57" t="n">
        <f aca="false">EDATE($B$12,A272)</f>
        <v>53359</v>
      </c>
      <c r="C272" s="27" t="n">
        <f aca="false">$B$13</f>
        <v>2075.51390901829</v>
      </c>
      <c r="D272" s="27" t="n">
        <f aca="false">C272-E272</f>
        <v>1058.76182766894</v>
      </c>
      <c r="E272" s="27" t="n">
        <f aca="false">F271*$B$10</f>
        <v>1016.75208134934</v>
      </c>
      <c r="F272" s="27" t="n">
        <f aca="false">MAX(0,F271-D272)</f>
        <v>179697.163745548</v>
      </c>
    </row>
    <row r="273" customFormat="false" ht="15" hidden="false" customHeight="false" outlineLevel="0" collapsed="false">
      <c r="A273" s="14" t="n">
        <v>242</v>
      </c>
      <c r="B273" s="57" t="n">
        <f aca="false">EDATE($B$12,A273)</f>
        <v>53387</v>
      </c>
      <c r="C273" s="27" t="n">
        <f aca="false">$B$13</f>
        <v>2075.51390901829</v>
      </c>
      <c r="D273" s="27" t="n">
        <f aca="false">C273-E273</f>
        <v>1064.71736294958</v>
      </c>
      <c r="E273" s="27" t="n">
        <f aca="false">F272*$B$10</f>
        <v>1010.79654606871</v>
      </c>
      <c r="F273" s="27" t="n">
        <f aca="false">MAX(0,F272-D273)</f>
        <v>178632.446382598</v>
      </c>
    </row>
    <row r="274" customFormat="false" ht="15" hidden="false" customHeight="false" outlineLevel="0" collapsed="false">
      <c r="A274" s="14" t="n">
        <v>243</v>
      </c>
      <c r="B274" s="57" t="n">
        <f aca="false">EDATE($B$12,A274)</f>
        <v>53418</v>
      </c>
      <c r="C274" s="27" t="n">
        <f aca="false">$B$13</f>
        <v>2075.51390901829</v>
      </c>
      <c r="D274" s="27" t="n">
        <f aca="false">C274-E274</f>
        <v>1070.70639811617</v>
      </c>
      <c r="E274" s="27" t="n">
        <f aca="false">F273*$B$10</f>
        <v>1004.80751090211</v>
      </c>
      <c r="F274" s="27" t="n">
        <f aca="false">MAX(0,F273-D274)</f>
        <v>177561.739984482</v>
      </c>
    </row>
    <row r="275" customFormat="false" ht="15" hidden="false" customHeight="false" outlineLevel="0" collapsed="false">
      <c r="A275" s="14" t="n">
        <v>244</v>
      </c>
      <c r="B275" s="57" t="n">
        <f aca="false">EDATE($B$12,A275)</f>
        <v>53448</v>
      </c>
      <c r="C275" s="27" t="n">
        <f aca="false">$B$13</f>
        <v>2075.51390901829</v>
      </c>
      <c r="D275" s="27" t="n">
        <f aca="false">C275-E275</f>
        <v>1076.72912160558</v>
      </c>
      <c r="E275" s="27" t="n">
        <f aca="false">F274*$B$10</f>
        <v>998.784787412712</v>
      </c>
      <c r="F275" s="27" t="n">
        <f aca="false">MAX(0,F274-D275)</f>
        <v>176485.010862876</v>
      </c>
    </row>
    <row r="276" customFormat="false" ht="15" hidden="false" customHeight="false" outlineLevel="0" collapsed="false">
      <c r="A276" s="14" t="n">
        <v>245</v>
      </c>
      <c r="B276" s="57" t="n">
        <f aca="false">EDATE($B$12,A276)</f>
        <v>53479</v>
      </c>
      <c r="C276" s="27" t="n">
        <f aca="false">$B$13</f>
        <v>2075.51390901829</v>
      </c>
      <c r="D276" s="27" t="n">
        <f aca="false">C276-E276</f>
        <v>1082.78572291461</v>
      </c>
      <c r="E276" s="27" t="n">
        <f aca="false">F275*$B$10</f>
        <v>992.72818610368</v>
      </c>
      <c r="F276" s="27" t="n">
        <f aca="false">MAX(0,F275-D276)</f>
        <v>175402.225139962</v>
      </c>
    </row>
    <row r="277" customFormat="false" ht="15" hidden="false" customHeight="false" outlineLevel="0" collapsed="false">
      <c r="A277" s="14" t="n">
        <v>246</v>
      </c>
      <c r="B277" s="57" t="n">
        <f aca="false">EDATE($B$12,A277)</f>
        <v>53509</v>
      </c>
      <c r="C277" s="27" t="n">
        <f aca="false">$B$13</f>
        <v>2075.51390901829</v>
      </c>
      <c r="D277" s="27" t="n">
        <f aca="false">C277-E277</f>
        <v>1088.876392606</v>
      </c>
      <c r="E277" s="27" t="n">
        <f aca="false">F276*$B$10</f>
        <v>986.637516412285</v>
      </c>
      <c r="F277" s="27" t="n">
        <f aca="false">MAX(0,F276-D277)</f>
        <v>174313.348747356</v>
      </c>
    </row>
    <row r="278" customFormat="false" ht="15" hidden="false" customHeight="false" outlineLevel="0" collapsed="false">
      <c r="A278" s="14" t="n">
        <v>247</v>
      </c>
      <c r="B278" s="57" t="n">
        <f aca="false">EDATE($B$12,A278)</f>
        <v>53540</v>
      </c>
      <c r="C278" s="27" t="n">
        <f aca="false">$B$13</f>
        <v>2075.51390901829</v>
      </c>
      <c r="D278" s="27" t="n">
        <f aca="false">C278-E278</f>
        <v>1095.00132231441</v>
      </c>
      <c r="E278" s="27" t="n">
        <f aca="false">F277*$B$10</f>
        <v>980.512586703877</v>
      </c>
      <c r="F278" s="27" t="n">
        <f aca="false">MAX(0,F277-D278)</f>
        <v>173218.347425041</v>
      </c>
    </row>
    <row r="279" customFormat="false" ht="15" hidden="false" customHeight="false" outlineLevel="0" collapsed="false">
      <c r="A279" s="14" t="n">
        <v>248</v>
      </c>
      <c r="B279" s="57" t="n">
        <f aca="false">EDATE($B$12,A279)</f>
        <v>53571</v>
      </c>
      <c r="C279" s="27" t="n">
        <f aca="false">$B$13</f>
        <v>2075.51390901829</v>
      </c>
      <c r="D279" s="27" t="n">
        <f aca="false">C279-E279</f>
        <v>1101.16070475243</v>
      </c>
      <c r="E279" s="27" t="n">
        <f aca="false">F278*$B$10</f>
        <v>974.353204265858</v>
      </c>
      <c r="F279" s="27" t="n">
        <f aca="false">MAX(0,F278-D279)</f>
        <v>172117.186720289</v>
      </c>
    </row>
    <row r="280" customFormat="false" ht="15" hidden="false" customHeight="false" outlineLevel="0" collapsed="false">
      <c r="A280" s="14" t="n">
        <v>249</v>
      </c>
      <c r="B280" s="57" t="n">
        <f aca="false">EDATE($B$12,A280)</f>
        <v>53601</v>
      </c>
      <c r="C280" s="27" t="n">
        <f aca="false">$B$13</f>
        <v>2075.51390901829</v>
      </c>
      <c r="D280" s="27" t="n">
        <f aca="false">C280-E280</f>
        <v>1107.35473371666</v>
      </c>
      <c r="E280" s="27" t="n">
        <f aca="false">F279*$B$10</f>
        <v>968.159175301626</v>
      </c>
      <c r="F280" s="27" t="n">
        <f aca="false">MAX(0,F279-D280)</f>
        <v>171009.831986572</v>
      </c>
    </row>
    <row r="281" customFormat="false" ht="15" hidden="false" customHeight="false" outlineLevel="0" collapsed="false">
      <c r="A281" s="14" t="n">
        <v>250</v>
      </c>
      <c r="B281" s="57" t="n">
        <f aca="false">EDATE($B$12,A281)</f>
        <v>53632</v>
      </c>
      <c r="C281" s="27" t="n">
        <f aca="false">$B$13</f>
        <v>2075.51390901829</v>
      </c>
      <c r="D281" s="27" t="n">
        <f aca="false">C281-E281</f>
        <v>1113.58360409382</v>
      </c>
      <c r="E281" s="27" t="n">
        <f aca="false">F280*$B$10</f>
        <v>961.93030492447</v>
      </c>
      <c r="F281" s="27" t="n">
        <f aca="false">MAX(0,F280-D281)</f>
        <v>169896.248382479</v>
      </c>
    </row>
    <row r="282" customFormat="false" ht="15" hidden="false" customHeight="false" outlineLevel="0" collapsed="false">
      <c r="A282" s="14" t="n">
        <v>251</v>
      </c>
      <c r="B282" s="57" t="n">
        <f aca="false">EDATE($B$12,A282)</f>
        <v>53662</v>
      </c>
      <c r="C282" s="27" t="n">
        <f aca="false">$B$13</f>
        <v>2075.51390901829</v>
      </c>
      <c r="D282" s="27" t="n">
        <f aca="false">C282-E282</f>
        <v>1119.84751186685</v>
      </c>
      <c r="E282" s="27" t="n">
        <f aca="false">F281*$B$10</f>
        <v>955.666397151442</v>
      </c>
      <c r="F282" s="27" t="n">
        <f aca="false">MAX(0,F281-D282)</f>
        <v>168776.400870612</v>
      </c>
    </row>
    <row r="283" customFormat="false" ht="15" hidden="false" customHeight="false" outlineLevel="0" collapsed="false">
      <c r="A283" s="14" t="n">
        <v>252</v>
      </c>
      <c r="B283" s="57" t="n">
        <f aca="false">EDATE($B$12,A283)</f>
        <v>53693</v>
      </c>
      <c r="C283" s="27" t="n">
        <f aca="false">$B$13</f>
        <v>2075.51390901829</v>
      </c>
      <c r="D283" s="27" t="n">
        <f aca="false">C283-E283</f>
        <v>1126.1466541211</v>
      </c>
      <c r="E283" s="27" t="n">
        <f aca="false">F282*$B$10</f>
        <v>949.367254897191</v>
      </c>
      <c r="F283" s="27" t="n">
        <f aca="false">MAX(0,F282-D283)</f>
        <v>167650.254216491</v>
      </c>
    </row>
    <row r="284" customFormat="false" ht="15" hidden="false" customHeight="false" outlineLevel="0" collapsed="false">
      <c r="A284" s="14" t="n">
        <v>253</v>
      </c>
      <c r="B284" s="57" t="n">
        <f aca="false">EDATE($B$12,A284)</f>
        <v>53724</v>
      </c>
      <c r="C284" s="27" t="n">
        <f aca="false">$B$13</f>
        <v>2075.51390901829</v>
      </c>
      <c r="D284" s="27" t="n">
        <f aca="false">C284-E284</f>
        <v>1132.48122905053</v>
      </c>
      <c r="E284" s="27" t="n">
        <f aca="false">F283*$B$10</f>
        <v>943.03267996776</v>
      </c>
      <c r="F284" s="27" t="n">
        <f aca="false">MAX(0,F283-D284)</f>
        <v>166517.77298744</v>
      </c>
    </row>
    <row r="285" customFormat="false" ht="15" hidden="false" customHeight="false" outlineLevel="0" collapsed="false">
      <c r="A285" s="14" t="n">
        <v>254</v>
      </c>
      <c r="B285" s="57" t="n">
        <f aca="false">EDATE($B$12,A285)</f>
        <v>53752</v>
      </c>
      <c r="C285" s="27" t="n">
        <f aca="false">$B$13</f>
        <v>2075.51390901829</v>
      </c>
      <c r="D285" s="27" t="n">
        <f aca="false">C285-E285</f>
        <v>1138.85143596394</v>
      </c>
      <c r="E285" s="27" t="n">
        <f aca="false">F284*$B$10</f>
        <v>936.66247305435</v>
      </c>
      <c r="F285" s="27" t="n">
        <f aca="false">MAX(0,F284-D285)</f>
        <v>165378.921551476</v>
      </c>
    </row>
    <row r="286" customFormat="false" ht="15" hidden="false" customHeight="false" outlineLevel="0" collapsed="false">
      <c r="A286" s="14" t="n">
        <v>255</v>
      </c>
      <c r="B286" s="57" t="n">
        <f aca="false">EDATE($B$12,A286)</f>
        <v>53783</v>
      </c>
      <c r="C286" s="27" t="n">
        <f aca="false">$B$13</f>
        <v>2075.51390901829</v>
      </c>
      <c r="D286" s="27" t="n">
        <f aca="false">C286-E286</f>
        <v>1145.25747529124</v>
      </c>
      <c r="E286" s="27" t="n">
        <f aca="false">F285*$B$10</f>
        <v>930.256433727053</v>
      </c>
      <c r="F286" s="27" t="n">
        <f aca="false">MAX(0,F285-D286)</f>
        <v>164233.664076185</v>
      </c>
    </row>
    <row r="287" customFormat="false" ht="15" hidden="false" customHeight="false" outlineLevel="0" collapsed="false">
      <c r="A287" s="14" t="n">
        <v>256</v>
      </c>
      <c r="B287" s="57" t="n">
        <f aca="false">EDATE($B$12,A287)</f>
        <v>53813</v>
      </c>
      <c r="C287" s="27" t="n">
        <f aca="false">$B$13</f>
        <v>2075.51390901829</v>
      </c>
      <c r="D287" s="27" t="n">
        <f aca="false">C287-E287</f>
        <v>1151.69954858975</v>
      </c>
      <c r="E287" s="27" t="n">
        <f aca="false">F286*$B$10</f>
        <v>923.81436042854</v>
      </c>
      <c r="F287" s="27" t="n">
        <f aca="false">MAX(0,F286-D287)</f>
        <v>163081.964527595</v>
      </c>
    </row>
    <row r="288" customFormat="false" ht="15" hidden="false" customHeight="false" outlineLevel="0" collapsed="false">
      <c r="A288" s="14" t="n">
        <v>257</v>
      </c>
      <c r="B288" s="57" t="n">
        <f aca="false">EDATE($B$12,A288)</f>
        <v>53844</v>
      </c>
      <c r="C288" s="27" t="n">
        <f aca="false">$B$13</f>
        <v>2075.51390901829</v>
      </c>
      <c r="D288" s="27" t="n">
        <f aca="false">C288-E288</f>
        <v>1158.17785855057</v>
      </c>
      <c r="E288" s="27" t="n">
        <f aca="false">F287*$B$10</f>
        <v>917.336050467723</v>
      </c>
      <c r="F288" s="27" t="n">
        <f aca="false">MAX(0,F287-D288)</f>
        <v>161923.786669045</v>
      </c>
    </row>
    <row r="289" customFormat="false" ht="15" hidden="false" customHeight="false" outlineLevel="0" collapsed="false">
      <c r="A289" s="14" t="n">
        <v>258</v>
      </c>
      <c r="B289" s="57" t="n">
        <f aca="false">EDATE($B$12,A289)</f>
        <v>53874</v>
      </c>
      <c r="C289" s="27" t="n">
        <f aca="false">$B$13</f>
        <v>2075.51390901829</v>
      </c>
      <c r="D289" s="27" t="n">
        <f aca="false">C289-E289</f>
        <v>1164.69260900491</v>
      </c>
      <c r="E289" s="27" t="n">
        <f aca="false">F288*$B$10</f>
        <v>910.821300013376</v>
      </c>
      <c r="F289" s="27" t="n">
        <f aca="false">MAX(0,F288-D289)</f>
        <v>160759.09406004</v>
      </c>
    </row>
    <row r="290" customFormat="false" ht="15" hidden="false" customHeight="false" outlineLevel="0" collapsed="false">
      <c r="A290" s="14" t="n">
        <v>259</v>
      </c>
      <c r="B290" s="57" t="n">
        <f aca="false">EDATE($B$12,A290)</f>
        <v>53905</v>
      </c>
      <c r="C290" s="27" t="n">
        <f aca="false">$B$13</f>
        <v>2075.51390901829</v>
      </c>
      <c r="D290" s="27" t="n">
        <f aca="false">C290-E290</f>
        <v>1171.24400493057</v>
      </c>
      <c r="E290" s="27" t="n">
        <f aca="false">F289*$B$10</f>
        <v>904.269904087723</v>
      </c>
      <c r="F290" s="27" t="n">
        <f aca="false">MAX(0,F289-D290)</f>
        <v>159587.850055109</v>
      </c>
    </row>
    <row r="291" customFormat="false" ht="15" hidden="false" customHeight="false" outlineLevel="0" collapsed="false">
      <c r="A291" s="14" t="n">
        <v>260</v>
      </c>
      <c r="B291" s="57" t="n">
        <f aca="false">EDATE($B$12,A291)</f>
        <v>53936</v>
      </c>
      <c r="C291" s="27" t="n">
        <f aca="false">$B$13</f>
        <v>2075.51390901829</v>
      </c>
      <c r="D291" s="27" t="n">
        <f aca="false">C291-E291</f>
        <v>1177.8322524583</v>
      </c>
      <c r="E291" s="27" t="n">
        <f aca="false">F290*$B$10</f>
        <v>897.681656559989</v>
      </c>
      <c r="F291" s="27" t="n">
        <f aca="false">MAX(0,F290-D291)</f>
        <v>158410.017802651</v>
      </c>
    </row>
    <row r="292" customFormat="false" ht="15" hidden="false" customHeight="false" outlineLevel="0" collapsed="false">
      <c r="A292" s="14" t="n">
        <v>261</v>
      </c>
      <c r="B292" s="57" t="n">
        <f aca="false">EDATE($B$12,A292)</f>
        <v>53966</v>
      </c>
      <c r="C292" s="27" t="n">
        <f aca="false">$B$13</f>
        <v>2075.51390901829</v>
      </c>
      <c r="D292" s="27" t="n">
        <f aca="false">C292-E292</f>
        <v>1184.45755887838</v>
      </c>
      <c r="E292" s="27" t="n">
        <f aca="false">F291*$B$10</f>
        <v>891.056350139911</v>
      </c>
      <c r="F292" s="27" t="n">
        <f aca="false">MAX(0,F291-D292)</f>
        <v>157225.560243772</v>
      </c>
    </row>
    <row r="293" customFormat="false" ht="15" hidden="false" customHeight="false" outlineLevel="0" collapsed="false">
      <c r="A293" s="14" t="n">
        <v>262</v>
      </c>
      <c r="B293" s="57" t="n">
        <f aca="false">EDATE($B$12,A293)</f>
        <v>53997</v>
      </c>
      <c r="C293" s="27" t="n">
        <f aca="false">$B$13</f>
        <v>2075.51390901829</v>
      </c>
      <c r="D293" s="27" t="n">
        <f aca="false">C293-E293</f>
        <v>1191.12013264707</v>
      </c>
      <c r="E293" s="27" t="n">
        <f aca="false">F292*$B$10</f>
        <v>884.39377637122</v>
      </c>
      <c r="F293" s="27" t="n">
        <f aca="false">MAX(0,F292-D293)</f>
        <v>156034.440111125</v>
      </c>
    </row>
    <row r="294" customFormat="false" ht="15" hidden="false" customHeight="false" outlineLevel="0" collapsed="false">
      <c r="A294" s="14" t="n">
        <v>263</v>
      </c>
      <c r="B294" s="57" t="n">
        <f aca="false">EDATE($B$12,A294)</f>
        <v>54027</v>
      </c>
      <c r="C294" s="27" t="n">
        <f aca="false">$B$13</f>
        <v>2075.51390901829</v>
      </c>
      <c r="D294" s="27" t="n">
        <f aca="false">C294-E294</f>
        <v>1197.82018339321</v>
      </c>
      <c r="E294" s="27" t="n">
        <f aca="false">F293*$B$10</f>
        <v>877.69372562508</v>
      </c>
      <c r="F294" s="27" t="n">
        <f aca="false">MAX(0,F293-D294)</f>
        <v>154836.619927732</v>
      </c>
    </row>
    <row r="295" customFormat="false" ht="15" hidden="false" customHeight="false" outlineLevel="0" collapsed="false">
      <c r="A295" s="14" t="n">
        <v>264</v>
      </c>
      <c r="B295" s="57" t="n">
        <f aca="false">EDATE($B$12,A295)</f>
        <v>54058</v>
      </c>
      <c r="C295" s="27" t="n">
        <f aca="false">$B$13</f>
        <v>2075.51390901829</v>
      </c>
      <c r="D295" s="27" t="n">
        <f aca="false">C295-E295</f>
        <v>1204.5579219248</v>
      </c>
      <c r="E295" s="27" t="n">
        <f aca="false">F294*$B$10</f>
        <v>870.955987093493</v>
      </c>
      <c r="F295" s="27" t="n">
        <f aca="false">MAX(0,F294-D295)</f>
        <v>153632.062005807</v>
      </c>
    </row>
    <row r="296" customFormat="false" ht="15" hidden="false" customHeight="false" outlineLevel="0" collapsed="false">
      <c r="A296" s="14" t="n">
        <v>265</v>
      </c>
      <c r="B296" s="57" t="n">
        <f aca="false">EDATE($B$12,A296)</f>
        <v>54089</v>
      </c>
      <c r="C296" s="27" t="n">
        <f aca="false">$B$13</f>
        <v>2075.51390901829</v>
      </c>
      <c r="D296" s="27" t="n">
        <f aca="false">C296-E296</f>
        <v>1211.33356023562</v>
      </c>
      <c r="E296" s="27" t="n">
        <f aca="false">F295*$B$10</f>
        <v>864.180348782666</v>
      </c>
      <c r="F296" s="27" t="n">
        <f aca="false">MAX(0,F295-D296)</f>
        <v>152420.728445572</v>
      </c>
    </row>
    <row r="297" customFormat="false" ht="15" hidden="false" customHeight="false" outlineLevel="0" collapsed="false">
      <c r="A297" s="14" t="n">
        <v>266</v>
      </c>
      <c r="B297" s="57" t="n">
        <f aca="false">EDATE($B$12,A297)</f>
        <v>54118</v>
      </c>
      <c r="C297" s="27" t="n">
        <f aca="false">$B$13</f>
        <v>2075.51390901829</v>
      </c>
      <c r="D297" s="27" t="n">
        <f aca="false">C297-E297</f>
        <v>1218.14731151195</v>
      </c>
      <c r="E297" s="27" t="n">
        <f aca="false">F296*$B$10</f>
        <v>857.366597506341</v>
      </c>
      <c r="F297" s="27" t="n">
        <f aca="false">MAX(0,F296-D297)</f>
        <v>151202.58113406</v>
      </c>
    </row>
    <row r="298" customFormat="false" ht="15" hidden="false" customHeight="false" outlineLevel="0" collapsed="false">
      <c r="A298" s="14" t="n">
        <v>267</v>
      </c>
      <c r="B298" s="57" t="n">
        <f aca="false">EDATE($B$12,A298)</f>
        <v>54149</v>
      </c>
      <c r="C298" s="27" t="n">
        <f aca="false">$B$13</f>
        <v>2075.51390901829</v>
      </c>
      <c r="D298" s="27" t="n">
        <f aca="false">C298-E298</f>
        <v>1224.9993901392</v>
      </c>
      <c r="E298" s="27" t="n">
        <f aca="false">F297*$B$10</f>
        <v>850.514518879086</v>
      </c>
      <c r="F298" s="27" t="n">
        <f aca="false">MAX(0,F297-D298)</f>
        <v>149977.581743921</v>
      </c>
    </row>
    <row r="299" customFormat="false" ht="15" hidden="false" customHeight="false" outlineLevel="0" collapsed="false">
      <c r="A299" s="14" t="n">
        <v>268</v>
      </c>
      <c r="B299" s="57" t="n">
        <f aca="false">EDATE($B$12,A299)</f>
        <v>54179</v>
      </c>
      <c r="C299" s="27" t="n">
        <f aca="false">$B$13</f>
        <v>2075.51390901829</v>
      </c>
      <c r="D299" s="27" t="n">
        <f aca="false">C299-E299</f>
        <v>1231.89001170874</v>
      </c>
      <c r="E299" s="27" t="n">
        <f aca="false">F298*$B$10</f>
        <v>843.623897309553</v>
      </c>
      <c r="F299" s="27" t="n">
        <f aca="false">MAX(0,F298-D299)</f>
        <v>148745.691732212</v>
      </c>
    </row>
    <row r="300" customFormat="false" ht="15" hidden="false" customHeight="false" outlineLevel="0" collapsed="false">
      <c r="A300" s="14" t="n">
        <v>269</v>
      </c>
      <c r="B300" s="57" t="n">
        <f aca="false">EDATE($B$12,A300)</f>
        <v>54210</v>
      </c>
      <c r="C300" s="27" t="n">
        <f aca="false">$B$13</f>
        <v>2075.51390901829</v>
      </c>
      <c r="D300" s="27" t="n">
        <f aca="false">C300-E300</f>
        <v>1238.8193930246</v>
      </c>
      <c r="E300" s="27" t="n">
        <f aca="false">F299*$B$10</f>
        <v>836.694515993691</v>
      </c>
      <c r="F300" s="27" t="n">
        <f aca="false">MAX(0,F299-D300)</f>
        <v>147506.872339187</v>
      </c>
    </row>
    <row r="301" customFormat="false" ht="15" hidden="false" customHeight="false" outlineLevel="0" collapsed="false">
      <c r="A301" s="14" t="n">
        <v>270</v>
      </c>
      <c r="B301" s="57" t="n">
        <f aca="false">EDATE($B$12,A301)</f>
        <v>54240</v>
      </c>
      <c r="C301" s="27" t="n">
        <f aca="false">$B$13</f>
        <v>2075.51390901829</v>
      </c>
      <c r="D301" s="27" t="n">
        <f aca="false">C301-E301</f>
        <v>1245.78775211036</v>
      </c>
      <c r="E301" s="27" t="n">
        <f aca="false">F300*$B$10</f>
        <v>829.726156907928</v>
      </c>
      <c r="F301" s="27" t="n">
        <f aca="false">MAX(0,F300-D301)</f>
        <v>146261.084587077</v>
      </c>
    </row>
    <row r="302" customFormat="false" ht="15" hidden="false" customHeight="false" outlineLevel="0" collapsed="false">
      <c r="A302" s="14" t="n">
        <v>271</v>
      </c>
      <c r="B302" s="57" t="n">
        <f aca="false">EDATE($B$12,A302)</f>
        <v>54271</v>
      </c>
      <c r="C302" s="27" t="n">
        <f aca="false">$B$13</f>
        <v>2075.51390901829</v>
      </c>
      <c r="D302" s="27" t="n">
        <f aca="false">C302-E302</f>
        <v>1252.79530821598</v>
      </c>
      <c r="E302" s="27" t="n">
        <f aca="false">F301*$B$10</f>
        <v>822.718600802307</v>
      </c>
      <c r="F302" s="27" t="n">
        <f aca="false">MAX(0,F301-D302)</f>
        <v>145008.289278861</v>
      </c>
    </row>
    <row r="303" customFormat="false" ht="15" hidden="false" customHeight="false" outlineLevel="0" collapsed="false">
      <c r="A303" s="14" t="n">
        <v>272</v>
      </c>
      <c r="B303" s="57" t="n">
        <f aca="false">EDATE($B$12,A303)</f>
        <v>54302</v>
      </c>
      <c r="C303" s="27" t="n">
        <f aca="false">$B$13</f>
        <v>2075.51390901829</v>
      </c>
      <c r="D303" s="27" t="n">
        <f aca="false">C303-E303</f>
        <v>1259.8422818247</v>
      </c>
      <c r="E303" s="27" t="n">
        <f aca="false">F302*$B$10</f>
        <v>815.671627193592</v>
      </c>
      <c r="F303" s="27" t="n">
        <f aca="false">MAX(0,F302-D303)</f>
        <v>143748.446997036</v>
      </c>
    </row>
    <row r="304" customFormat="false" ht="15" hidden="false" customHeight="false" outlineLevel="0" collapsed="false">
      <c r="A304" s="14" t="n">
        <v>273</v>
      </c>
      <c r="B304" s="57" t="n">
        <f aca="false">EDATE($B$12,A304)</f>
        <v>54332</v>
      </c>
      <c r="C304" s="27" t="n">
        <f aca="false">$B$13</f>
        <v>2075.51390901829</v>
      </c>
      <c r="D304" s="27" t="n">
        <f aca="false">C304-E304</f>
        <v>1266.92889465996</v>
      </c>
      <c r="E304" s="27" t="n">
        <f aca="false">F303*$B$10</f>
        <v>808.585014358328</v>
      </c>
      <c r="F304" s="27" t="n">
        <f aca="false">MAX(0,F303-D304)</f>
        <v>142481.518102376</v>
      </c>
    </row>
    <row r="305" customFormat="false" ht="15" hidden="false" customHeight="false" outlineLevel="0" collapsed="false">
      <c r="A305" s="14" t="n">
        <v>274</v>
      </c>
      <c r="B305" s="57" t="n">
        <f aca="false">EDATE($B$12,A305)</f>
        <v>54363</v>
      </c>
      <c r="C305" s="27" t="n">
        <f aca="false">$B$13</f>
        <v>2075.51390901829</v>
      </c>
      <c r="D305" s="27" t="n">
        <f aca="false">C305-E305</f>
        <v>1274.05536969242</v>
      </c>
      <c r="E305" s="27" t="n">
        <f aca="false">F304*$B$10</f>
        <v>801.458539325866</v>
      </c>
      <c r="F305" s="27" t="n">
        <f aca="false">MAX(0,F304-D305)</f>
        <v>141207.462732684</v>
      </c>
    </row>
    <row r="306" customFormat="false" ht="15" hidden="false" customHeight="false" outlineLevel="0" collapsed="false">
      <c r="A306" s="14" t="n">
        <v>275</v>
      </c>
      <c r="B306" s="57" t="n">
        <f aca="false">EDATE($B$12,A306)</f>
        <v>54393</v>
      </c>
      <c r="C306" s="27" t="n">
        <f aca="false">$B$13</f>
        <v>2075.51390901829</v>
      </c>
      <c r="D306" s="27" t="n">
        <f aca="false">C306-E306</f>
        <v>1281.22193114694</v>
      </c>
      <c r="E306" s="27" t="n">
        <f aca="false">F305*$B$10</f>
        <v>794.291977871346</v>
      </c>
      <c r="F306" s="27" t="n">
        <f aca="false">MAX(0,F305-D306)</f>
        <v>139926.240801537</v>
      </c>
    </row>
    <row r="307" customFormat="false" ht="15" hidden="false" customHeight="false" outlineLevel="0" collapsed="false">
      <c r="A307" s="14" t="n">
        <v>276</v>
      </c>
      <c r="B307" s="57" t="n">
        <f aca="false">EDATE($B$12,A307)</f>
        <v>54424</v>
      </c>
      <c r="C307" s="27" t="n">
        <f aca="false">$B$13</f>
        <v>2075.51390901829</v>
      </c>
      <c r="D307" s="27" t="n">
        <f aca="false">C307-E307</f>
        <v>1288.42880450964</v>
      </c>
      <c r="E307" s="27" t="n">
        <f aca="false">F306*$B$10</f>
        <v>787.085104508645</v>
      </c>
      <c r="F307" s="27" t="n">
        <f aca="false">MAX(0,F306-D307)</f>
        <v>138637.811997027</v>
      </c>
    </row>
    <row r="308" customFormat="false" ht="15" hidden="false" customHeight="false" outlineLevel="0" collapsed="false">
      <c r="A308" s="14" t="n">
        <v>277</v>
      </c>
      <c r="B308" s="57" t="n">
        <f aca="false">EDATE($B$12,A308)</f>
        <v>54455</v>
      </c>
      <c r="C308" s="27" t="n">
        <f aca="false">$B$13</f>
        <v>2075.51390901829</v>
      </c>
      <c r="D308" s="27" t="n">
        <f aca="false">C308-E308</f>
        <v>1295.67621653501</v>
      </c>
      <c r="E308" s="27" t="n">
        <f aca="false">F307*$B$10</f>
        <v>779.837692483278</v>
      </c>
      <c r="F308" s="27" t="n">
        <f aca="false">MAX(0,F307-D308)</f>
        <v>137342.135780492</v>
      </c>
    </row>
    <row r="309" customFormat="false" ht="15" hidden="false" customHeight="false" outlineLevel="0" collapsed="false">
      <c r="A309" s="14" t="n">
        <v>278</v>
      </c>
      <c r="B309" s="57" t="n">
        <f aca="false">EDATE($B$12,A309)</f>
        <v>54483</v>
      </c>
      <c r="C309" s="27" t="n">
        <f aca="false">$B$13</f>
        <v>2075.51390901829</v>
      </c>
      <c r="D309" s="27" t="n">
        <f aca="false">C309-E309</f>
        <v>1302.96439525302</v>
      </c>
      <c r="E309" s="27" t="n">
        <f aca="false">F308*$B$10</f>
        <v>772.549513765268</v>
      </c>
      <c r="F309" s="27" t="n">
        <f aca="false">MAX(0,F308-D309)</f>
        <v>136039.171385239</v>
      </c>
    </row>
    <row r="310" customFormat="false" ht="15" hidden="false" customHeight="false" outlineLevel="0" collapsed="false">
      <c r="A310" s="14" t="n">
        <v>279</v>
      </c>
      <c r="B310" s="57" t="n">
        <f aca="false">EDATE($B$12,A310)</f>
        <v>54514</v>
      </c>
      <c r="C310" s="27" t="n">
        <f aca="false">$B$13</f>
        <v>2075.51390901829</v>
      </c>
      <c r="D310" s="27" t="n">
        <f aca="false">C310-E310</f>
        <v>1310.29356997632</v>
      </c>
      <c r="E310" s="27" t="n">
        <f aca="false">F309*$B$10</f>
        <v>765.22033904197</v>
      </c>
      <c r="F310" s="27" t="n">
        <f aca="false">MAX(0,F309-D310)</f>
        <v>134728.877815263</v>
      </c>
    </row>
    <row r="311" customFormat="false" ht="15" hidden="false" customHeight="false" outlineLevel="0" collapsed="false">
      <c r="A311" s="14" t="n">
        <v>280</v>
      </c>
      <c r="B311" s="57" t="n">
        <f aca="false">EDATE($B$12,A311)</f>
        <v>54544</v>
      </c>
      <c r="C311" s="27" t="n">
        <f aca="false">$B$13</f>
        <v>2075.51390901829</v>
      </c>
      <c r="D311" s="27" t="n">
        <f aca="false">C311-E311</f>
        <v>1317.66397130744</v>
      </c>
      <c r="E311" s="27" t="n">
        <f aca="false">F310*$B$10</f>
        <v>757.849937710854</v>
      </c>
      <c r="F311" s="27" t="n">
        <f aca="false">MAX(0,F310-D311)</f>
        <v>133411.213843955</v>
      </c>
    </row>
    <row r="312" customFormat="false" ht="15" hidden="false" customHeight="false" outlineLevel="0" collapsed="false">
      <c r="A312" s="14" t="n">
        <v>281</v>
      </c>
      <c r="B312" s="57" t="n">
        <f aca="false">EDATE($B$12,A312)</f>
        <v>54575</v>
      </c>
      <c r="C312" s="27" t="n">
        <f aca="false">$B$13</f>
        <v>2075.51390901829</v>
      </c>
      <c r="D312" s="27" t="n">
        <f aca="false">C312-E312</f>
        <v>1325.07583114604</v>
      </c>
      <c r="E312" s="27" t="n">
        <f aca="false">F311*$B$10</f>
        <v>750.438077872249</v>
      </c>
      <c r="F312" s="27" t="n">
        <f aca="false">MAX(0,F311-D312)</f>
        <v>132086.138012809</v>
      </c>
    </row>
    <row r="313" customFormat="false" ht="15" hidden="false" customHeight="false" outlineLevel="0" collapsed="false">
      <c r="A313" s="14" t="n">
        <v>282</v>
      </c>
      <c r="B313" s="57" t="n">
        <f aca="false">EDATE($B$12,A313)</f>
        <v>54605</v>
      </c>
      <c r="C313" s="27" t="n">
        <f aca="false">$B$13</f>
        <v>2075.51390901829</v>
      </c>
      <c r="D313" s="27" t="n">
        <f aca="false">C313-E313</f>
        <v>1332.52938269624</v>
      </c>
      <c r="E313" s="27" t="n">
        <f aca="false">F312*$B$10</f>
        <v>742.984526322053</v>
      </c>
      <c r="F313" s="27" t="n">
        <f aca="false">MAX(0,F312-D313)</f>
        <v>130753.608630113</v>
      </c>
    </row>
    <row r="314" customFormat="false" ht="15" hidden="false" customHeight="false" outlineLevel="0" collapsed="false">
      <c r="A314" s="14" t="n">
        <v>283</v>
      </c>
      <c r="B314" s="57" t="n">
        <f aca="false">EDATE($B$12,A314)</f>
        <v>54636</v>
      </c>
      <c r="C314" s="27" t="n">
        <f aca="false">$B$13</f>
        <v>2075.51390901829</v>
      </c>
      <c r="D314" s="27" t="n">
        <f aca="false">C314-E314</f>
        <v>1340.0248604739</v>
      </c>
      <c r="E314" s="27" t="n">
        <f aca="false">F313*$B$10</f>
        <v>735.489048544387</v>
      </c>
      <c r="F314" s="27" t="n">
        <f aca="false">MAX(0,F313-D314)</f>
        <v>129413.583769639</v>
      </c>
    </row>
    <row r="315" customFormat="false" ht="15" hidden="false" customHeight="false" outlineLevel="0" collapsed="false">
      <c r="A315" s="14" t="n">
        <v>284</v>
      </c>
      <c r="B315" s="57" t="n">
        <f aca="false">EDATE($B$12,A315)</f>
        <v>54667</v>
      </c>
      <c r="C315" s="27" t="n">
        <f aca="false">$B$13</f>
        <v>2075.51390901829</v>
      </c>
      <c r="D315" s="27" t="n">
        <f aca="false">C315-E315</f>
        <v>1347.56250031407</v>
      </c>
      <c r="E315" s="27" t="n">
        <f aca="false">F314*$B$10</f>
        <v>727.951408704221</v>
      </c>
      <c r="F315" s="27" t="n">
        <f aca="false">MAX(0,F314-D315)</f>
        <v>128066.021269325</v>
      </c>
    </row>
    <row r="316" customFormat="false" ht="15" hidden="false" customHeight="false" outlineLevel="0" collapsed="false">
      <c r="A316" s="14" t="n">
        <v>285</v>
      </c>
      <c r="B316" s="57" t="n">
        <f aca="false">EDATE($B$12,A316)</f>
        <v>54697</v>
      </c>
      <c r="C316" s="27" t="n">
        <f aca="false">$B$13</f>
        <v>2075.51390901829</v>
      </c>
      <c r="D316" s="27" t="n">
        <f aca="false">C316-E316</f>
        <v>1355.14253937833</v>
      </c>
      <c r="E316" s="27" t="n">
        <f aca="false">F315*$B$10</f>
        <v>720.371369639954</v>
      </c>
      <c r="F316" s="27" t="n">
        <f aca="false">MAX(0,F315-D316)</f>
        <v>126710.878729947</v>
      </c>
    </row>
    <row r="317" customFormat="false" ht="15" hidden="false" customHeight="false" outlineLevel="0" collapsed="false">
      <c r="A317" s="14" t="n">
        <v>286</v>
      </c>
      <c r="B317" s="57" t="n">
        <f aca="false">EDATE($B$12,A317)</f>
        <v>54728</v>
      </c>
      <c r="C317" s="27" t="n">
        <f aca="false">$B$13</f>
        <v>2075.51390901829</v>
      </c>
      <c r="D317" s="27" t="n">
        <f aca="false">C317-E317</f>
        <v>1362.76521616234</v>
      </c>
      <c r="E317" s="27" t="n">
        <f aca="false">F316*$B$10</f>
        <v>712.748692855951</v>
      </c>
      <c r="F317" s="27" t="n">
        <f aca="false">MAX(0,F316-D317)</f>
        <v>125348.113513784</v>
      </c>
    </row>
    <row r="318" customFormat="false" ht="15" hidden="false" customHeight="false" outlineLevel="0" collapsed="false">
      <c r="A318" s="14" t="n">
        <v>287</v>
      </c>
      <c r="B318" s="57" t="n">
        <f aca="false">EDATE($B$12,A318)</f>
        <v>54758</v>
      </c>
      <c r="C318" s="27" t="n">
        <f aca="false">$B$13</f>
        <v>2075.51390901829</v>
      </c>
      <c r="D318" s="27" t="n">
        <f aca="false">C318-E318</f>
        <v>1370.43077050325</v>
      </c>
      <c r="E318" s="27" t="n">
        <f aca="false">F317*$B$10</f>
        <v>705.083138515038</v>
      </c>
      <c r="F318" s="27" t="n">
        <f aca="false">MAX(0,F317-D318)</f>
        <v>123977.682743281</v>
      </c>
    </row>
    <row r="319" customFormat="false" ht="15" hidden="false" customHeight="false" outlineLevel="0" collapsed="false">
      <c r="A319" s="14" t="n">
        <v>288</v>
      </c>
      <c r="B319" s="57" t="n">
        <f aca="false">EDATE($B$12,A319)</f>
        <v>54789</v>
      </c>
      <c r="C319" s="27" t="n">
        <f aca="false">$B$13</f>
        <v>2075.51390901829</v>
      </c>
      <c r="D319" s="27" t="n">
        <f aca="false">C319-E319</f>
        <v>1378.13944358733</v>
      </c>
      <c r="E319" s="27" t="n">
        <f aca="false">F318*$B$10</f>
        <v>697.374465430957</v>
      </c>
      <c r="F319" s="27" t="n">
        <f aca="false">MAX(0,F318-D319)</f>
        <v>122599.543299694</v>
      </c>
    </row>
    <row r="320" customFormat="false" ht="15" hidden="false" customHeight="false" outlineLevel="0" collapsed="false">
      <c r="A320" s="14" t="n">
        <v>289</v>
      </c>
      <c r="B320" s="57" t="n">
        <f aca="false">EDATE($B$12,A320)</f>
        <v>54820</v>
      </c>
      <c r="C320" s="27" t="n">
        <f aca="false">$B$13</f>
        <v>2075.51390901829</v>
      </c>
      <c r="D320" s="27" t="n">
        <f aca="false">C320-E320</f>
        <v>1385.89147795751</v>
      </c>
      <c r="E320" s="27" t="n">
        <f aca="false">F319*$B$10</f>
        <v>689.622431060778</v>
      </c>
      <c r="F320" s="27" t="n">
        <f aca="false">MAX(0,F319-D320)</f>
        <v>121213.651821736</v>
      </c>
    </row>
    <row r="321" customFormat="false" ht="15" hidden="false" customHeight="false" outlineLevel="0" collapsed="false">
      <c r="A321" s="14" t="n">
        <v>290</v>
      </c>
      <c r="B321" s="57" t="n">
        <f aca="false">EDATE($B$12,A321)</f>
        <v>54848</v>
      </c>
      <c r="C321" s="27" t="n">
        <f aca="false">$B$13</f>
        <v>2075.51390901829</v>
      </c>
      <c r="D321" s="27" t="n">
        <f aca="false">C321-E321</f>
        <v>1393.68711752102</v>
      </c>
      <c r="E321" s="27" t="n">
        <f aca="false">F320*$B$10</f>
        <v>681.826791497267</v>
      </c>
      <c r="F321" s="27" t="n">
        <f aca="false">MAX(0,F320-D321)</f>
        <v>119819.964704215</v>
      </c>
    </row>
    <row r="322" customFormat="false" ht="15" hidden="false" customHeight="false" outlineLevel="0" collapsed="false">
      <c r="A322" s="14" t="n">
        <v>291</v>
      </c>
      <c r="B322" s="57" t="n">
        <f aca="false">EDATE($B$12,A322)</f>
        <v>54879</v>
      </c>
      <c r="C322" s="27" t="n">
        <f aca="false">$B$13</f>
        <v>2075.51390901829</v>
      </c>
      <c r="D322" s="27" t="n">
        <f aca="false">C322-E322</f>
        <v>1401.52660755708</v>
      </c>
      <c r="E322" s="27" t="n">
        <f aca="false">F321*$B$10</f>
        <v>673.987301461212</v>
      </c>
      <c r="F322" s="27" t="n">
        <f aca="false">MAX(0,F321-D322)</f>
        <v>118418.438096658</v>
      </c>
    </row>
    <row r="323" customFormat="false" ht="15" hidden="false" customHeight="false" outlineLevel="0" collapsed="false">
      <c r="A323" s="14" t="n">
        <v>292</v>
      </c>
      <c r="B323" s="57" t="n">
        <f aca="false">EDATE($B$12,A323)</f>
        <v>54909</v>
      </c>
      <c r="C323" s="27" t="n">
        <f aca="false">$B$13</f>
        <v>2075.51390901829</v>
      </c>
      <c r="D323" s="27" t="n">
        <f aca="false">C323-E323</f>
        <v>1409.41019472459</v>
      </c>
      <c r="E323" s="27" t="n">
        <f aca="false">F322*$B$10</f>
        <v>666.103714293703</v>
      </c>
      <c r="F323" s="27" t="n">
        <f aca="false">MAX(0,F322-D323)</f>
        <v>117009.027901934</v>
      </c>
    </row>
    <row r="324" customFormat="false" ht="15" hidden="false" customHeight="false" outlineLevel="0" collapsed="false">
      <c r="A324" s="14" t="n">
        <v>293</v>
      </c>
      <c r="B324" s="57" t="n">
        <f aca="false">EDATE($B$12,A324)</f>
        <v>54940</v>
      </c>
      <c r="C324" s="27" t="n">
        <f aca="false">$B$13</f>
        <v>2075.51390901829</v>
      </c>
      <c r="D324" s="27" t="n">
        <f aca="false">C324-E324</f>
        <v>1417.33812706991</v>
      </c>
      <c r="E324" s="27" t="n">
        <f aca="false">F323*$B$10</f>
        <v>658.175781948377</v>
      </c>
      <c r="F324" s="27" t="n">
        <f aca="false">MAX(0,F323-D324)</f>
        <v>115591.689774864</v>
      </c>
    </row>
    <row r="325" customFormat="false" ht="15" hidden="false" customHeight="false" outlineLevel="0" collapsed="false">
      <c r="A325" s="14" t="n">
        <v>294</v>
      </c>
      <c r="B325" s="57" t="n">
        <f aca="false">EDATE($B$12,A325)</f>
        <v>54970</v>
      </c>
      <c r="C325" s="27" t="n">
        <f aca="false">$B$13</f>
        <v>2075.51390901829</v>
      </c>
      <c r="D325" s="27" t="n">
        <f aca="false">C325-E325</f>
        <v>1425.31065403468</v>
      </c>
      <c r="E325" s="27" t="n">
        <f aca="false">F324*$B$10</f>
        <v>650.203254983609</v>
      </c>
      <c r="F325" s="27" t="n">
        <f aca="false">MAX(0,F324-D325)</f>
        <v>114166.379120829</v>
      </c>
    </row>
    <row r="326" customFormat="false" ht="15" hidden="false" customHeight="false" outlineLevel="0" collapsed="false">
      <c r="A326" s="14" t="n">
        <v>295</v>
      </c>
      <c r="B326" s="57" t="n">
        <f aca="false">EDATE($B$12,A326)</f>
        <v>55001</v>
      </c>
      <c r="C326" s="27" t="n">
        <f aca="false">$B$13</f>
        <v>2075.51390901829</v>
      </c>
      <c r="D326" s="27" t="n">
        <f aca="false">C326-E326</f>
        <v>1433.32802646363</v>
      </c>
      <c r="E326" s="27" t="n">
        <f aca="false">F325*$B$10</f>
        <v>642.185882554664</v>
      </c>
      <c r="F326" s="27" t="n">
        <f aca="false">MAX(0,F325-D326)</f>
        <v>112733.051094365</v>
      </c>
    </row>
    <row r="327" customFormat="false" ht="15" hidden="false" customHeight="false" outlineLevel="0" collapsed="false">
      <c r="A327" s="14" t="n">
        <v>296</v>
      </c>
      <c r="B327" s="57" t="n">
        <f aca="false">EDATE($B$12,A327)</f>
        <v>55032</v>
      </c>
      <c r="C327" s="27" t="n">
        <f aca="false">$B$13</f>
        <v>2075.51390901829</v>
      </c>
      <c r="D327" s="27" t="n">
        <f aca="false">C327-E327</f>
        <v>1441.39049661248</v>
      </c>
      <c r="E327" s="27" t="n">
        <f aca="false">F326*$B$10</f>
        <v>634.123412405806</v>
      </c>
      <c r="F327" s="27" t="n">
        <f aca="false">MAX(0,F326-D327)</f>
        <v>111291.660597753</v>
      </c>
    </row>
    <row r="328" customFormat="false" ht="15" hidden="false" customHeight="false" outlineLevel="0" collapsed="false">
      <c r="A328" s="14" t="n">
        <v>297</v>
      </c>
      <c r="B328" s="57" t="n">
        <f aca="false">EDATE($B$12,A328)</f>
        <v>55062</v>
      </c>
      <c r="C328" s="27" t="n">
        <f aca="false">$B$13</f>
        <v>2075.51390901829</v>
      </c>
      <c r="D328" s="27" t="n">
        <f aca="false">C328-E328</f>
        <v>1449.49831815593</v>
      </c>
      <c r="E328" s="27" t="n">
        <f aca="false">F327*$B$10</f>
        <v>626.015590862361</v>
      </c>
      <c r="F328" s="27" t="n">
        <f aca="false">MAX(0,F327-D328)</f>
        <v>109842.162279597</v>
      </c>
    </row>
    <row r="329" customFormat="false" ht="15" hidden="false" customHeight="false" outlineLevel="0" collapsed="false">
      <c r="A329" s="14" t="n">
        <v>298</v>
      </c>
      <c r="B329" s="57" t="n">
        <f aca="false">EDATE($B$12,A329)</f>
        <v>55093</v>
      </c>
      <c r="C329" s="27" t="n">
        <f aca="false">$B$13</f>
        <v>2075.51390901829</v>
      </c>
      <c r="D329" s="27" t="n">
        <f aca="false">C329-E329</f>
        <v>1457.65174619556</v>
      </c>
      <c r="E329" s="27" t="n">
        <f aca="false">F328*$B$10</f>
        <v>617.862162822734</v>
      </c>
      <c r="F329" s="27" t="n">
        <f aca="false">MAX(0,F328-D329)</f>
        <v>108384.510533402</v>
      </c>
    </row>
    <row r="330" customFormat="false" ht="15" hidden="false" customHeight="false" outlineLevel="0" collapsed="false">
      <c r="A330" s="14" t="n">
        <v>299</v>
      </c>
      <c r="B330" s="57" t="n">
        <f aca="false">EDATE($B$12,A330)</f>
        <v>55123</v>
      </c>
      <c r="C330" s="27" t="n">
        <f aca="false">$B$13</f>
        <v>2075.51390901829</v>
      </c>
      <c r="D330" s="27" t="n">
        <f aca="false">C330-E330</f>
        <v>1465.85103726791</v>
      </c>
      <c r="E330" s="27" t="n">
        <f aca="false">F329*$B$10</f>
        <v>609.662871750384</v>
      </c>
      <c r="F330" s="27" t="n">
        <f aca="false">MAX(0,F329-D330)</f>
        <v>106918.659496134</v>
      </c>
    </row>
    <row r="331" customFormat="false" ht="15" hidden="false" customHeight="false" outlineLevel="0" collapsed="false">
      <c r="A331" s="14" t="n">
        <v>300</v>
      </c>
      <c r="B331" s="57" t="n">
        <f aca="false">EDATE($B$12,A331)</f>
        <v>55154</v>
      </c>
      <c r="C331" s="27" t="n">
        <f aca="false">$B$13</f>
        <v>2075.51390901829</v>
      </c>
      <c r="D331" s="27" t="n">
        <f aca="false">C331-E331</f>
        <v>1474.09644935254</v>
      </c>
      <c r="E331" s="27" t="n">
        <f aca="false">F330*$B$10</f>
        <v>601.417459665752</v>
      </c>
      <c r="F331" s="27" t="n">
        <f aca="false">MAX(0,F330-D331)</f>
        <v>105444.563046781</v>
      </c>
    </row>
    <row r="332" customFormat="false" ht="15" hidden="false" customHeight="false" outlineLevel="0" collapsed="false">
      <c r="A332" s="14" t="n">
        <v>301</v>
      </c>
      <c r="B332" s="57" t="n">
        <f aca="false">EDATE($B$12,A332)</f>
        <v>55185</v>
      </c>
      <c r="C332" s="27" t="n">
        <f aca="false">$B$13</f>
        <v>2075.51390901829</v>
      </c>
      <c r="D332" s="27" t="n">
        <f aca="false">C332-E332</f>
        <v>1482.38824188015</v>
      </c>
      <c r="E332" s="27" t="n">
        <f aca="false">F331*$B$10</f>
        <v>593.125667138144</v>
      </c>
      <c r="F332" s="27" t="n">
        <f aca="false">MAX(0,F331-D332)</f>
        <v>103962.174804901</v>
      </c>
    </row>
    <row r="333" customFormat="false" ht="15" hidden="false" customHeight="false" outlineLevel="0" collapsed="false">
      <c r="A333" s="14" t="n">
        <v>302</v>
      </c>
      <c r="B333" s="57" t="n">
        <f aca="false">EDATE($B$12,A333)</f>
        <v>55213</v>
      </c>
      <c r="C333" s="27" t="n">
        <f aca="false">$B$13</f>
        <v>2075.51390901829</v>
      </c>
      <c r="D333" s="27" t="n">
        <f aca="false">C333-E333</f>
        <v>1490.72667574072</v>
      </c>
      <c r="E333" s="27" t="n">
        <f aca="false">F332*$B$10</f>
        <v>584.787233277568</v>
      </c>
      <c r="F333" s="27" t="n">
        <f aca="false">MAX(0,F332-D333)</f>
        <v>102471.44812916</v>
      </c>
    </row>
    <row r="334" customFormat="false" ht="15" hidden="false" customHeight="false" outlineLevel="0" collapsed="false">
      <c r="A334" s="14" t="n">
        <v>303</v>
      </c>
      <c r="B334" s="57" t="n">
        <f aca="false">EDATE($B$12,A334)</f>
        <v>55244</v>
      </c>
      <c r="C334" s="27" t="n">
        <f aca="false">$B$13</f>
        <v>2075.51390901829</v>
      </c>
      <c r="D334" s="27" t="n">
        <f aca="false">C334-E334</f>
        <v>1499.11201329176</v>
      </c>
      <c r="E334" s="27" t="n">
        <f aca="false">F333*$B$10</f>
        <v>576.401895726526</v>
      </c>
      <c r="F334" s="27" t="n">
        <f aca="false">MAX(0,F333-D334)</f>
        <v>100972.336115868</v>
      </c>
    </row>
    <row r="335" customFormat="false" ht="15" hidden="false" customHeight="false" outlineLevel="0" collapsed="false">
      <c r="A335" s="14" t="n">
        <v>304</v>
      </c>
      <c r="B335" s="57" t="n">
        <f aca="false">EDATE($B$12,A335)</f>
        <v>55274</v>
      </c>
      <c r="C335" s="27" t="n">
        <f aca="false">$B$13</f>
        <v>2075.51390901829</v>
      </c>
      <c r="D335" s="27" t="n">
        <f aca="false">C335-E335</f>
        <v>1507.54451836653</v>
      </c>
      <c r="E335" s="27" t="n">
        <f aca="false">F334*$B$10</f>
        <v>567.96939065176</v>
      </c>
      <c r="F335" s="27" t="n">
        <f aca="false">MAX(0,F334-D335)</f>
        <v>99464.7915975019</v>
      </c>
    </row>
    <row r="336" customFormat="false" ht="15" hidden="false" customHeight="false" outlineLevel="0" collapsed="false">
      <c r="A336" s="14" t="n">
        <v>305</v>
      </c>
      <c r="B336" s="57" t="n">
        <f aca="false">EDATE($B$12,A336)</f>
        <v>55305</v>
      </c>
      <c r="C336" s="27" t="n">
        <f aca="false">$B$13</f>
        <v>2075.51390901829</v>
      </c>
      <c r="D336" s="27" t="n">
        <f aca="false">C336-E336</f>
        <v>1516.02445628234</v>
      </c>
      <c r="E336" s="27" t="n">
        <f aca="false">F335*$B$10</f>
        <v>559.489452735948</v>
      </c>
      <c r="F336" s="27" t="n">
        <f aca="false">MAX(0,F335-D336)</f>
        <v>97948.7671412196</v>
      </c>
    </row>
    <row r="337" customFormat="false" ht="15" hidden="false" customHeight="false" outlineLevel="0" collapsed="false">
      <c r="A337" s="14" t="n">
        <v>306</v>
      </c>
      <c r="B337" s="57" t="n">
        <f aca="false">EDATE($B$12,A337)</f>
        <v>55335</v>
      </c>
      <c r="C337" s="27" t="n">
        <f aca="false">$B$13</f>
        <v>2075.51390901829</v>
      </c>
      <c r="D337" s="27" t="n">
        <f aca="false">C337-E337</f>
        <v>1524.55209384893</v>
      </c>
      <c r="E337" s="27" t="n">
        <f aca="false">F336*$B$10</f>
        <v>550.96181516936</v>
      </c>
      <c r="F337" s="27" t="n">
        <f aca="false">MAX(0,F336-D337)</f>
        <v>96424.2150473706</v>
      </c>
    </row>
    <row r="338" customFormat="false" ht="15" hidden="false" customHeight="false" outlineLevel="0" collapsed="false">
      <c r="A338" s="14" t="n">
        <v>307</v>
      </c>
      <c r="B338" s="57" t="n">
        <f aca="false">EDATE($B$12,A338)</f>
        <v>55366</v>
      </c>
      <c r="C338" s="27" t="n">
        <f aca="false">$B$13</f>
        <v>2075.51390901829</v>
      </c>
      <c r="D338" s="27" t="n">
        <f aca="false">C338-E338</f>
        <v>1533.12769937683</v>
      </c>
      <c r="E338" s="27" t="n">
        <f aca="false">F337*$B$10</f>
        <v>542.38620964146</v>
      </c>
      <c r="F338" s="27" t="n">
        <f aca="false">MAX(0,F337-D338)</f>
        <v>94891.0873479938</v>
      </c>
    </row>
    <row r="339" customFormat="false" ht="15" hidden="false" customHeight="false" outlineLevel="0" collapsed="false">
      <c r="A339" s="14" t="n">
        <v>308</v>
      </c>
      <c r="B339" s="57" t="n">
        <f aca="false">EDATE($B$12,A339)</f>
        <v>55397</v>
      </c>
      <c r="C339" s="27" t="n">
        <f aca="false">$B$13</f>
        <v>2075.51390901829</v>
      </c>
      <c r="D339" s="27" t="n">
        <f aca="false">C339-E339</f>
        <v>1541.75154268582</v>
      </c>
      <c r="E339" s="27" t="n">
        <f aca="false">F338*$B$10</f>
        <v>533.762366332465</v>
      </c>
      <c r="F339" s="27" t="n">
        <f aca="false">MAX(0,F338-D339)</f>
        <v>93349.335805308</v>
      </c>
    </row>
    <row r="340" customFormat="false" ht="15" hidden="false" customHeight="false" outlineLevel="0" collapsed="false">
      <c r="A340" s="14" t="n">
        <v>309</v>
      </c>
      <c r="B340" s="57" t="n">
        <f aca="false">EDATE($B$12,A340)</f>
        <v>55427</v>
      </c>
      <c r="C340" s="27" t="n">
        <f aca="false">$B$13</f>
        <v>2075.51390901829</v>
      </c>
      <c r="D340" s="27" t="n">
        <f aca="false">C340-E340</f>
        <v>1550.42389511343</v>
      </c>
      <c r="E340" s="27" t="n">
        <f aca="false">F339*$B$10</f>
        <v>525.090013904858</v>
      </c>
      <c r="F340" s="27" t="n">
        <f aca="false">MAX(0,F339-D340)</f>
        <v>91798.9119101946</v>
      </c>
    </row>
    <row r="341" customFormat="false" ht="15" hidden="false" customHeight="false" outlineLevel="0" collapsed="false">
      <c r="A341" s="14" t="n">
        <v>310</v>
      </c>
      <c r="B341" s="57" t="n">
        <f aca="false">EDATE($B$12,A341)</f>
        <v>55458</v>
      </c>
      <c r="C341" s="27" t="n">
        <f aca="false">$B$13</f>
        <v>2075.51390901829</v>
      </c>
      <c r="D341" s="27" t="n">
        <f aca="false">C341-E341</f>
        <v>1559.14502952344</v>
      </c>
      <c r="E341" s="27" t="n">
        <f aca="false">F340*$B$10</f>
        <v>516.368879494845</v>
      </c>
      <c r="F341" s="27" t="n">
        <f aca="false">MAX(0,F340-D341)</f>
        <v>90239.7668806711</v>
      </c>
    </row>
    <row r="342" customFormat="false" ht="15" hidden="false" customHeight="false" outlineLevel="0" collapsed="false">
      <c r="A342" s="14" t="n">
        <v>311</v>
      </c>
      <c r="B342" s="57" t="n">
        <f aca="false">EDATE($B$12,A342)</f>
        <v>55488</v>
      </c>
      <c r="C342" s="27" t="n">
        <f aca="false">$B$13</f>
        <v>2075.51390901829</v>
      </c>
      <c r="D342" s="27" t="n">
        <f aca="false">C342-E342</f>
        <v>1567.91522031451</v>
      </c>
      <c r="E342" s="27" t="n">
        <f aca="false">F341*$B$10</f>
        <v>507.598688703775</v>
      </c>
      <c r="F342" s="27" t="n">
        <f aca="false">MAX(0,F341-D342)</f>
        <v>88671.8516603566</v>
      </c>
    </row>
    <row r="343" customFormat="false" ht="15" hidden="false" customHeight="false" outlineLevel="0" collapsed="false">
      <c r="A343" s="14" t="n">
        <v>312</v>
      </c>
      <c r="B343" s="57" t="n">
        <f aca="false">EDATE($B$12,A343)</f>
        <v>55519</v>
      </c>
      <c r="C343" s="27" t="n">
        <f aca="false">$B$13</f>
        <v>2075.51390901829</v>
      </c>
      <c r="D343" s="27" t="n">
        <f aca="false">C343-E343</f>
        <v>1576.73474342878</v>
      </c>
      <c r="E343" s="27" t="n">
        <f aca="false">F342*$B$10</f>
        <v>498.779165589506</v>
      </c>
      <c r="F343" s="27" t="n">
        <f aca="false">MAX(0,F342-D343)</f>
        <v>87095.1169169278</v>
      </c>
    </row>
    <row r="344" customFormat="false" ht="15" hidden="false" customHeight="false" outlineLevel="0" collapsed="false">
      <c r="A344" s="14" t="n">
        <v>313</v>
      </c>
      <c r="B344" s="57" t="n">
        <f aca="false">EDATE($B$12,A344)</f>
        <v>55550</v>
      </c>
      <c r="C344" s="27" t="n">
        <f aca="false">$B$13</f>
        <v>2075.51390901829</v>
      </c>
      <c r="D344" s="27" t="n">
        <f aca="false">C344-E344</f>
        <v>1585.60387636057</v>
      </c>
      <c r="E344" s="27" t="n">
        <f aca="false">F343*$B$10</f>
        <v>489.910032657719</v>
      </c>
      <c r="F344" s="27" t="n">
        <f aca="false">MAX(0,F343-D344)</f>
        <v>85509.5130405672</v>
      </c>
    </row>
    <row r="345" customFormat="false" ht="15" hidden="false" customHeight="false" outlineLevel="0" collapsed="false">
      <c r="A345" s="14" t="n">
        <v>314</v>
      </c>
      <c r="B345" s="57" t="n">
        <f aca="false">EDATE($B$12,A345)</f>
        <v>55579</v>
      </c>
      <c r="C345" s="27" t="n">
        <f aca="false">$B$13</f>
        <v>2075.51390901829</v>
      </c>
      <c r="D345" s="27" t="n">
        <f aca="false">C345-E345</f>
        <v>1594.5228981651</v>
      </c>
      <c r="E345" s="27" t="n">
        <f aca="false">F344*$B$10</f>
        <v>480.991010853191</v>
      </c>
      <c r="F345" s="27" t="n">
        <f aca="false">MAX(0,F344-D345)</f>
        <v>83914.9901424021</v>
      </c>
    </row>
    <row r="346" customFormat="false" ht="15" hidden="false" customHeight="false" outlineLevel="0" collapsed="false">
      <c r="A346" s="14" t="n">
        <v>315</v>
      </c>
      <c r="B346" s="57" t="n">
        <f aca="false">EDATE($B$12,A346)</f>
        <v>55610</v>
      </c>
      <c r="C346" s="27" t="n">
        <f aca="false">$B$13</f>
        <v>2075.51390901829</v>
      </c>
      <c r="D346" s="27" t="n">
        <f aca="false">C346-E346</f>
        <v>1603.49208946728</v>
      </c>
      <c r="E346" s="27" t="n">
        <f aca="false">F345*$B$10</f>
        <v>472.021819551012</v>
      </c>
      <c r="F346" s="27" t="n">
        <f aca="false">MAX(0,F345-D346)</f>
        <v>82311.4980529349</v>
      </c>
    </row>
    <row r="347" customFormat="false" ht="15" hidden="false" customHeight="false" outlineLevel="0" collapsed="false">
      <c r="A347" s="14" t="n">
        <v>316</v>
      </c>
      <c r="B347" s="57" t="n">
        <f aca="false">EDATE($B$12,A347)</f>
        <v>55640</v>
      </c>
      <c r="C347" s="27" t="n">
        <f aca="false">$B$13</f>
        <v>2075.51390901829</v>
      </c>
      <c r="D347" s="27" t="n">
        <f aca="false">C347-E347</f>
        <v>1612.51173247053</v>
      </c>
      <c r="E347" s="27" t="n">
        <f aca="false">F346*$B$10</f>
        <v>463.002176547759</v>
      </c>
      <c r="F347" s="27" t="n">
        <f aca="false">MAX(0,F346-D347)</f>
        <v>80698.9863204643</v>
      </c>
    </row>
    <row r="348" customFormat="false" ht="15" hidden="false" customHeight="false" outlineLevel="0" collapsed="false">
      <c r="A348" s="14" t="n">
        <v>317</v>
      </c>
      <c r="B348" s="57" t="n">
        <f aca="false">EDATE($B$12,A348)</f>
        <v>55671</v>
      </c>
      <c r="C348" s="27" t="n">
        <f aca="false">$B$13</f>
        <v>2075.51390901829</v>
      </c>
      <c r="D348" s="27" t="n">
        <f aca="false">C348-E348</f>
        <v>1621.58211096568</v>
      </c>
      <c r="E348" s="27" t="n">
        <f aca="false">F347*$B$10</f>
        <v>453.931798052612</v>
      </c>
      <c r="F348" s="27" t="n">
        <f aca="false">MAX(0,F347-D348)</f>
        <v>79077.4042094986</v>
      </c>
    </row>
    <row r="349" customFormat="false" ht="15" hidden="false" customHeight="false" outlineLevel="0" collapsed="false">
      <c r="A349" s="14" t="n">
        <v>318</v>
      </c>
      <c r="B349" s="57" t="n">
        <f aca="false">EDATE($B$12,A349)</f>
        <v>55701</v>
      </c>
      <c r="C349" s="27" t="n">
        <f aca="false">$B$13</f>
        <v>2075.51390901829</v>
      </c>
      <c r="D349" s="27" t="n">
        <f aca="false">C349-E349</f>
        <v>1630.70351033986</v>
      </c>
      <c r="E349" s="27" t="n">
        <f aca="false">F348*$B$10</f>
        <v>444.81039867843</v>
      </c>
      <c r="F349" s="27" t="n">
        <f aca="false">MAX(0,F348-D349)</f>
        <v>77446.7006991588</v>
      </c>
    </row>
    <row r="350" customFormat="false" ht="15" hidden="false" customHeight="false" outlineLevel="0" collapsed="false">
      <c r="A350" s="14" t="n">
        <v>319</v>
      </c>
      <c r="B350" s="57" t="n">
        <f aca="false">EDATE($B$12,A350)</f>
        <v>55732</v>
      </c>
      <c r="C350" s="27" t="n">
        <f aca="false">$B$13</f>
        <v>2075.51390901829</v>
      </c>
      <c r="D350" s="27" t="n">
        <f aca="false">C350-E350</f>
        <v>1639.87621758552</v>
      </c>
      <c r="E350" s="27" t="n">
        <f aca="false">F349*$B$10</f>
        <v>435.637691432768</v>
      </c>
      <c r="F350" s="27" t="n">
        <f aca="false">MAX(0,F349-D350)</f>
        <v>75806.8244815733</v>
      </c>
    </row>
    <row r="351" customFormat="false" ht="15" hidden="false" customHeight="false" outlineLevel="0" collapsed="false">
      <c r="A351" s="14" t="n">
        <v>320</v>
      </c>
      <c r="B351" s="57" t="n">
        <f aca="false">EDATE($B$12,A351)</f>
        <v>55763</v>
      </c>
      <c r="C351" s="27" t="n">
        <f aca="false">$B$13</f>
        <v>2075.51390901829</v>
      </c>
      <c r="D351" s="27" t="n">
        <f aca="false">C351-E351</f>
        <v>1649.10052130944</v>
      </c>
      <c r="E351" s="27" t="n">
        <f aca="false">F350*$B$10</f>
        <v>426.41338770885</v>
      </c>
      <c r="F351" s="27" t="n">
        <f aca="false">MAX(0,F350-D351)</f>
        <v>74157.7239602638</v>
      </c>
    </row>
    <row r="352" customFormat="false" ht="15" hidden="false" customHeight="false" outlineLevel="0" collapsed="false">
      <c r="A352" s="14" t="n">
        <v>321</v>
      </c>
      <c r="B352" s="57" t="n">
        <f aca="false">EDATE($B$12,A352)</f>
        <v>55793</v>
      </c>
      <c r="C352" s="27" t="n">
        <f aca="false">$B$13</f>
        <v>2075.51390901829</v>
      </c>
      <c r="D352" s="27" t="n">
        <f aca="false">C352-E352</f>
        <v>1658.3767117418</v>
      </c>
      <c r="E352" s="27" t="n">
        <f aca="false">F351*$B$10</f>
        <v>417.137197276484</v>
      </c>
      <c r="F352" s="27" t="n">
        <f aca="false">MAX(0,F351-D352)</f>
        <v>72499.347248522</v>
      </c>
    </row>
    <row r="353" customFormat="false" ht="15" hidden="false" customHeight="false" outlineLevel="0" collapsed="false">
      <c r="A353" s="14" t="n">
        <v>322</v>
      </c>
      <c r="B353" s="57" t="n">
        <f aca="false">EDATE($B$12,A353)</f>
        <v>55824</v>
      </c>
      <c r="C353" s="27" t="n">
        <f aca="false">$B$13</f>
        <v>2075.51390901829</v>
      </c>
      <c r="D353" s="27" t="n">
        <f aca="false">C353-E353</f>
        <v>1667.70508074535</v>
      </c>
      <c r="E353" s="27" t="n">
        <f aca="false">F352*$B$10</f>
        <v>407.808828272936</v>
      </c>
      <c r="F353" s="27" t="n">
        <f aca="false">MAX(0,F352-D353)</f>
        <v>70831.6421677767</v>
      </c>
    </row>
    <row r="354" customFormat="false" ht="15" hidden="false" customHeight="false" outlineLevel="0" collapsed="false">
      <c r="A354" s="14" t="n">
        <v>323</v>
      </c>
      <c r="B354" s="57" t="n">
        <f aca="false">EDATE($B$12,A354)</f>
        <v>55854</v>
      </c>
      <c r="C354" s="27" t="n">
        <f aca="false">$B$13</f>
        <v>2075.51390901829</v>
      </c>
      <c r="D354" s="27" t="n">
        <f aca="false">C354-E354</f>
        <v>1677.08592182455</v>
      </c>
      <c r="E354" s="27" t="n">
        <f aca="false">F353*$B$10</f>
        <v>398.427987193744</v>
      </c>
      <c r="F354" s="27" t="n">
        <f aca="false">MAX(0,F353-D354)</f>
        <v>69154.5562459521</v>
      </c>
    </row>
    <row r="355" customFormat="false" ht="15" hidden="false" customHeight="false" outlineLevel="0" collapsed="false">
      <c r="A355" s="14" t="n">
        <v>324</v>
      </c>
      <c r="B355" s="57" t="n">
        <f aca="false">EDATE($B$12,A355)</f>
        <v>55885</v>
      </c>
      <c r="C355" s="27" t="n">
        <f aca="false">$B$13</f>
        <v>2075.51390901829</v>
      </c>
      <c r="D355" s="27" t="n">
        <f aca="false">C355-E355</f>
        <v>1686.51953013481</v>
      </c>
      <c r="E355" s="27" t="n">
        <f aca="false">F354*$B$10</f>
        <v>388.994378883481</v>
      </c>
      <c r="F355" s="27" t="n">
        <f aca="false">MAX(0,F354-D355)</f>
        <v>67468.0367158173</v>
      </c>
    </row>
    <row r="356" customFormat="false" ht="15" hidden="false" customHeight="false" outlineLevel="0" collapsed="false">
      <c r="A356" s="14" t="n">
        <v>325</v>
      </c>
      <c r="B356" s="57" t="n">
        <f aca="false">EDATE($B$12,A356)</f>
        <v>55916</v>
      </c>
      <c r="C356" s="27" t="n">
        <f aca="false">$B$13</f>
        <v>2075.51390901829</v>
      </c>
      <c r="D356" s="27" t="n">
        <f aca="false">C356-E356</f>
        <v>1696.00620249182</v>
      </c>
      <c r="E356" s="27" t="n">
        <f aca="false">F355*$B$10</f>
        <v>379.507706526473</v>
      </c>
      <c r="F356" s="27" t="n">
        <f aca="false">MAX(0,F355-D356)</f>
        <v>65772.0305133255</v>
      </c>
    </row>
    <row r="357" customFormat="false" ht="15" hidden="false" customHeight="false" outlineLevel="0" collapsed="false">
      <c r="A357" s="14" t="n">
        <v>326</v>
      </c>
      <c r="B357" s="57" t="n">
        <f aca="false">EDATE($B$12,A357)</f>
        <v>55944</v>
      </c>
      <c r="C357" s="27" t="n">
        <f aca="false">$B$13</f>
        <v>2075.51390901829</v>
      </c>
      <c r="D357" s="27" t="n">
        <f aca="false">C357-E357</f>
        <v>1705.54623738083</v>
      </c>
      <c r="E357" s="27" t="n">
        <f aca="false">F356*$B$10</f>
        <v>369.967671637456</v>
      </c>
      <c r="F357" s="27" t="n">
        <f aca="false">MAX(0,F356-D357)</f>
        <v>64066.4842759447</v>
      </c>
    </row>
    <row r="358" customFormat="false" ht="15" hidden="false" customHeight="false" outlineLevel="0" collapsed="false">
      <c r="A358" s="14" t="n">
        <v>327</v>
      </c>
      <c r="B358" s="57" t="n">
        <f aca="false">EDATE($B$12,A358)</f>
        <v>55975</v>
      </c>
      <c r="C358" s="27" t="n">
        <f aca="false">$B$13</f>
        <v>2075.51390901829</v>
      </c>
      <c r="D358" s="27" t="n">
        <f aca="false">C358-E358</f>
        <v>1715.1399349661</v>
      </c>
      <c r="E358" s="27" t="n">
        <f aca="false">F357*$B$10</f>
        <v>360.373974052189</v>
      </c>
      <c r="F358" s="27" t="n">
        <f aca="false">MAX(0,F357-D358)</f>
        <v>62351.3443409786</v>
      </c>
    </row>
    <row r="359" customFormat="false" ht="15" hidden="false" customHeight="false" outlineLevel="0" collapsed="false">
      <c r="A359" s="14" t="n">
        <v>328</v>
      </c>
      <c r="B359" s="57" t="n">
        <f aca="false">EDATE($B$12,A359)</f>
        <v>56005</v>
      </c>
      <c r="C359" s="27" t="n">
        <f aca="false">$B$13</f>
        <v>2075.51390901829</v>
      </c>
      <c r="D359" s="27" t="n">
        <f aca="false">C359-E359</f>
        <v>1724.78759710028</v>
      </c>
      <c r="E359" s="27" t="n">
        <f aca="false">F358*$B$10</f>
        <v>350.726311918005</v>
      </c>
      <c r="F359" s="27" t="n">
        <f aca="false">MAX(0,F358-D359)</f>
        <v>60626.5567438783</v>
      </c>
    </row>
    <row r="360" customFormat="false" ht="15" hidden="false" customHeight="false" outlineLevel="0" collapsed="false">
      <c r="A360" s="14" t="n">
        <v>329</v>
      </c>
      <c r="B360" s="57" t="n">
        <f aca="false">EDATE($B$12,A360)</f>
        <v>56036</v>
      </c>
      <c r="C360" s="27" t="n">
        <f aca="false">$B$13</f>
        <v>2075.51390901829</v>
      </c>
      <c r="D360" s="27" t="n">
        <f aca="false">C360-E360</f>
        <v>1734.48952733397</v>
      </c>
      <c r="E360" s="27" t="n">
        <f aca="false">F359*$B$10</f>
        <v>341.024381684315</v>
      </c>
      <c r="F360" s="27" t="n">
        <f aca="false">MAX(0,F359-D360)</f>
        <v>58892.0672165443</v>
      </c>
    </row>
    <row r="361" customFormat="false" ht="15" hidden="false" customHeight="false" outlineLevel="0" collapsed="false">
      <c r="A361" s="14" t="n">
        <v>330</v>
      </c>
      <c r="B361" s="57" t="n">
        <f aca="false">EDATE($B$12,A361)</f>
        <v>56066</v>
      </c>
      <c r="C361" s="27" t="n">
        <f aca="false">$B$13</f>
        <v>2075.51390901829</v>
      </c>
      <c r="D361" s="27" t="n">
        <f aca="false">C361-E361</f>
        <v>1744.24603092523</v>
      </c>
      <c r="E361" s="27" t="n">
        <f aca="false">F360*$B$10</f>
        <v>331.267878093062</v>
      </c>
      <c r="F361" s="27" t="n">
        <f aca="false">MAX(0,F360-D361)</f>
        <v>57147.8211856191</v>
      </c>
    </row>
    <row r="362" customFormat="false" ht="15" hidden="false" customHeight="false" outlineLevel="0" collapsed="false">
      <c r="A362" s="14" t="n">
        <v>331</v>
      </c>
      <c r="B362" s="57" t="n">
        <f aca="false">EDATE($B$12,A362)</f>
        <v>56097</v>
      </c>
      <c r="C362" s="27" t="n">
        <f aca="false">$B$13</f>
        <v>2075.51390901829</v>
      </c>
      <c r="D362" s="27" t="n">
        <f aca="false">C362-E362</f>
        <v>1754.05741484918</v>
      </c>
      <c r="E362" s="27" t="n">
        <f aca="false">F361*$B$10</f>
        <v>321.456494169107</v>
      </c>
      <c r="F362" s="27" t="n">
        <f aca="false">MAX(0,F361-D362)</f>
        <v>55393.7637707699</v>
      </c>
    </row>
    <row r="363" customFormat="false" ht="15" hidden="false" customHeight="false" outlineLevel="0" collapsed="false">
      <c r="A363" s="14" t="n">
        <v>332</v>
      </c>
      <c r="B363" s="57" t="n">
        <f aca="false">EDATE($B$12,A363)</f>
        <v>56128</v>
      </c>
      <c r="C363" s="27" t="n">
        <f aca="false">$B$13</f>
        <v>2075.51390901829</v>
      </c>
      <c r="D363" s="27" t="n">
        <f aca="false">C363-E363</f>
        <v>1763.92398780771</v>
      </c>
      <c r="E363" s="27" t="n">
        <f aca="false">F362*$B$10</f>
        <v>311.589921210581</v>
      </c>
      <c r="F363" s="27" t="n">
        <f aca="false">MAX(0,F362-D363)</f>
        <v>53629.8397829622</v>
      </c>
    </row>
    <row r="364" customFormat="false" ht="15" hidden="false" customHeight="false" outlineLevel="0" collapsed="false">
      <c r="A364" s="14" t="n">
        <v>333</v>
      </c>
      <c r="B364" s="57" t="n">
        <f aca="false">EDATE($B$12,A364)</f>
        <v>56158</v>
      </c>
      <c r="C364" s="27" t="n">
        <f aca="false">$B$13</f>
        <v>2075.51390901829</v>
      </c>
      <c r="D364" s="27" t="n">
        <f aca="false">C364-E364</f>
        <v>1773.84606023913</v>
      </c>
      <c r="E364" s="27" t="n">
        <f aca="false">F363*$B$10</f>
        <v>301.667848779162</v>
      </c>
      <c r="F364" s="27" t="n">
        <f aca="false">MAX(0,F363-D364)</f>
        <v>51855.9937227231</v>
      </c>
    </row>
    <row r="365" customFormat="false" ht="15" hidden="false" customHeight="false" outlineLevel="0" collapsed="false">
      <c r="A365" s="14" t="n">
        <v>334</v>
      </c>
      <c r="B365" s="57" t="n">
        <f aca="false">EDATE($B$12,A365)</f>
        <v>56189</v>
      </c>
      <c r="C365" s="27" t="n">
        <f aca="false">$B$13</f>
        <v>2075.51390901829</v>
      </c>
      <c r="D365" s="27" t="n">
        <f aca="false">C365-E365</f>
        <v>1783.82394432797</v>
      </c>
      <c r="E365" s="27" t="n">
        <f aca="false">F364*$B$10</f>
        <v>291.689964690317</v>
      </c>
      <c r="F365" s="27" t="n">
        <f aca="false">MAX(0,F364-D365)</f>
        <v>50072.1697783951</v>
      </c>
    </row>
    <row r="366" customFormat="false" ht="15" hidden="false" customHeight="false" outlineLevel="0" collapsed="false">
      <c r="A366" s="14" t="n">
        <v>335</v>
      </c>
      <c r="B366" s="57" t="n">
        <f aca="false">EDATE($B$12,A366)</f>
        <v>56219</v>
      </c>
      <c r="C366" s="27" t="n">
        <f aca="false">$B$13</f>
        <v>2075.51390901829</v>
      </c>
      <c r="D366" s="27" t="n">
        <f aca="false">C366-E366</f>
        <v>1793.85795401482</v>
      </c>
      <c r="E366" s="27" t="n">
        <f aca="false">F365*$B$10</f>
        <v>281.655955003472</v>
      </c>
      <c r="F366" s="27" t="n">
        <f aca="false">MAX(0,F365-D366)</f>
        <v>48278.3118243803</v>
      </c>
    </row>
    <row r="367" customFormat="false" ht="15" hidden="false" customHeight="false" outlineLevel="0" collapsed="false">
      <c r="A367" s="14" t="n">
        <v>336</v>
      </c>
      <c r="B367" s="57" t="n">
        <f aca="false">EDATE($B$12,A367)</f>
        <v>56250</v>
      </c>
      <c r="C367" s="27" t="n">
        <f aca="false">$B$13</f>
        <v>2075.51390901829</v>
      </c>
      <c r="D367" s="27" t="n">
        <f aca="false">C367-E367</f>
        <v>1803.94840500615</v>
      </c>
      <c r="E367" s="27" t="n">
        <f aca="false">F366*$B$10</f>
        <v>271.565504012139</v>
      </c>
      <c r="F367" s="27" t="n">
        <f aca="false">MAX(0,F366-D367)</f>
        <v>46474.3634193741</v>
      </c>
    </row>
    <row r="368" customFormat="false" ht="15" hidden="false" customHeight="false" outlineLevel="0" collapsed="false">
      <c r="A368" s="14" t="n">
        <v>337</v>
      </c>
      <c r="B368" s="57" t="n">
        <f aca="false">EDATE($B$12,A368)</f>
        <v>56281</v>
      </c>
      <c r="C368" s="27" t="n">
        <f aca="false">$B$13</f>
        <v>2075.51390901829</v>
      </c>
      <c r="D368" s="27" t="n">
        <f aca="false">C368-E368</f>
        <v>1814.09561478431</v>
      </c>
      <c r="E368" s="27" t="n">
        <f aca="false">F367*$B$10</f>
        <v>261.41829423398</v>
      </c>
      <c r="F368" s="27" t="n">
        <f aca="false">MAX(0,F367-D368)</f>
        <v>44660.2678045898</v>
      </c>
    </row>
    <row r="369" customFormat="false" ht="15" hidden="false" customHeight="false" outlineLevel="0" collapsed="false">
      <c r="A369" s="14" t="n">
        <v>338</v>
      </c>
      <c r="B369" s="57" t="n">
        <f aca="false">EDATE($B$12,A369)</f>
        <v>56309</v>
      </c>
      <c r="C369" s="27" t="n">
        <f aca="false">$B$13</f>
        <v>2075.51390901829</v>
      </c>
      <c r="D369" s="27" t="n">
        <f aca="false">C369-E369</f>
        <v>1824.29990261747</v>
      </c>
      <c r="E369" s="27" t="n">
        <f aca="false">F368*$B$10</f>
        <v>251.214006400818</v>
      </c>
      <c r="F369" s="27" t="n">
        <f aca="false">MAX(0,F368-D369)</f>
        <v>42835.9679019724</v>
      </c>
    </row>
    <row r="370" customFormat="false" ht="15" hidden="false" customHeight="false" outlineLevel="0" collapsed="false">
      <c r="A370" s="14" t="n">
        <v>339</v>
      </c>
      <c r="B370" s="57" t="n">
        <f aca="false">EDATE($B$12,A370)</f>
        <v>56340</v>
      </c>
      <c r="C370" s="27" t="n">
        <f aca="false">$B$13</f>
        <v>2075.51390901829</v>
      </c>
      <c r="D370" s="27" t="n">
        <f aca="false">C370-E370</f>
        <v>1834.56158956969</v>
      </c>
      <c r="E370" s="27" t="n">
        <f aca="false">F369*$B$10</f>
        <v>240.952319448595</v>
      </c>
      <c r="F370" s="27" t="n">
        <f aca="false">MAX(0,F369-D370)</f>
        <v>41001.4063124027</v>
      </c>
    </row>
    <row r="371" customFormat="false" ht="15" hidden="false" customHeight="false" outlineLevel="0" collapsed="false">
      <c r="A371" s="14" t="n">
        <v>340</v>
      </c>
      <c r="B371" s="57" t="n">
        <f aca="false">EDATE($B$12,A371)</f>
        <v>56370</v>
      </c>
      <c r="C371" s="27" t="n">
        <f aca="false">$B$13</f>
        <v>2075.51390901829</v>
      </c>
      <c r="D371" s="27" t="n">
        <f aca="false">C371-E371</f>
        <v>1844.88099851102</v>
      </c>
      <c r="E371" s="27" t="n">
        <f aca="false">F370*$B$10</f>
        <v>230.632910507265</v>
      </c>
      <c r="F371" s="27" t="n">
        <f aca="false">MAX(0,F370-D371)</f>
        <v>39156.5253138916</v>
      </c>
    </row>
    <row r="372" customFormat="false" ht="15" hidden="false" customHeight="false" outlineLevel="0" collapsed="false">
      <c r="A372" s="14" t="n">
        <v>341</v>
      </c>
      <c r="B372" s="57" t="n">
        <f aca="false">EDATE($B$12,A372)</f>
        <v>56401</v>
      </c>
      <c r="C372" s="27" t="n">
        <f aca="false">$B$13</f>
        <v>2075.51390901829</v>
      </c>
      <c r="D372" s="27" t="n">
        <f aca="false">C372-E372</f>
        <v>1855.25845412765</v>
      </c>
      <c r="E372" s="27" t="n">
        <f aca="false">F371*$B$10</f>
        <v>220.25545489064</v>
      </c>
      <c r="F372" s="27" t="n">
        <f aca="false">MAX(0,F371-D372)</f>
        <v>37301.266859764</v>
      </c>
    </row>
    <row r="373" customFormat="false" ht="15" hidden="false" customHeight="false" outlineLevel="0" collapsed="false">
      <c r="A373" s="14" t="n">
        <v>342</v>
      </c>
      <c r="B373" s="57" t="n">
        <f aca="false">EDATE($B$12,A373)</f>
        <v>56431</v>
      </c>
      <c r="C373" s="27" t="n">
        <f aca="false">$B$13</f>
        <v>2075.51390901829</v>
      </c>
      <c r="D373" s="27" t="n">
        <f aca="false">C373-E373</f>
        <v>1865.69428293212</v>
      </c>
      <c r="E373" s="27" t="n">
        <f aca="false">F372*$B$10</f>
        <v>209.819626086172</v>
      </c>
      <c r="F373" s="27" t="n">
        <f aca="false">MAX(0,F372-D373)</f>
        <v>35435.5725768319</v>
      </c>
    </row>
    <row r="374" customFormat="false" ht="15" hidden="false" customHeight="false" outlineLevel="0" collapsed="false">
      <c r="A374" s="14" t="n">
        <v>343</v>
      </c>
      <c r="B374" s="57" t="n">
        <f aca="false">EDATE($B$12,A374)</f>
        <v>56462</v>
      </c>
      <c r="C374" s="27" t="n">
        <f aca="false">$B$13</f>
        <v>2075.51390901829</v>
      </c>
      <c r="D374" s="27" t="n">
        <f aca="false">C374-E374</f>
        <v>1876.18881327361</v>
      </c>
      <c r="E374" s="27" t="n">
        <f aca="false">F373*$B$10</f>
        <v>199.325095744679</v>
      </c>
      <c r="F374" s="27" t="n">
        <f aca="false">MAX(0,F373-D374)</f>
        <v>33559.3837635583</v>
      </c>
    </row>
    <row r="375" customFormat="false" ht="15" hidden="false" customHeight="false" outlineLevel="0" collapsed="false">
      <c r="A375" s="14" t="n">
        <v>344</v>
      </c>
      <c r="B375" s="57" t="n">
        <f aca="false">EDATE($B$12,A375)</f>
        <v>56493</v>
      </c>
      <c r="C375" s="27" t="n">
        <f aca="false">$B$13</f>
        <v>2075.51390901829</v>
      </c>
      <c r="D375" s="27" t="n">
        <f aca="false">C375-E375</f>
        <v>1886.74237534827</v>
      </c>
      <c r="E375" s="27" t="n">
        <f aca="false">F374*$B$10</f>
        <v>188.771533670015</v>
      </c>
      <c r="F375" s="27" t="n">
        <f aca="false">MAX(0,F374-D375)</f>
        <v>31672.64138821</v>
      </c>
    </row>
    <row r="376" customFormat="false" ht="15" hidden="false" customHeight="false" outlineLevel="0" collapsed="false">
      <c r="A376" s="14" t="n">
        <v>345</v>
      </c>
      <c r="B376" s="57" t="n">
        <f aca="false">EDATE($B$12,A376)</f>
        <v>56523</v>
      </c>
      <c r="C376" s="27" t="n">
        <f aca="false">$B$13</f>
        <v>2075.51390901829</v>
      </c>
      <c r="D376" s="27" t="n">
        <f aca="false">C376-E376</f>
        <v>1897.35530120961</v>
      </c>
      <c r="E376" s="27" t="n">
        <f aca="false">F375*$B$10</f>
        <v>178.158607808681</v>
      </c>
      <c r="F376" s="27" t="n">
        <f aca="false">MAX(0,F375-D376)</f>
        <v>29775.2860870004</v>
      </c>
    </row>
    <row r="377" customFormat="false" ht="15" hidden="false" customHeight="false" outlineLevel="0" collapsed="false">
      <c r="A377" s="14" t="n">
        <v>346</v>
      </c>
      <c r="B377" s="57" t="n">
        <f aca="false">EDATE($B$12,A377)</f>
        <v>56554</v>
      </c>
      <c r="C377" s="27" t="n">
        <f aca="false">$B$13</f>
        <v>2075.51390901829</v>
      </c>
      <c r="D377" s="27" t="n">
        <f aca="false">C377-E377</f>
        <v>1908.02792477891</v>
      </c>
      <c r="E377" s="27" t="n">
        <f aca="false">F376*$B$10</f>
        <v>167.485984239377</v>
      </c>
      <c r="F377" s="27" t="n">
        <f aca="false">MAX(0,F376-D377)</f>
        <v>27867.2581622215</v>
      </c>
    </row>
    <row r="378" customFormat="false" ht="15" hidden="false" customHeight="false" outlineLevel="0" collapsed="false">
      <c r="A378" s="14" t="n">
        <v>347</v>
      </c>
      <c r="B378" s="57" t="n">
        <f aca="false">EDATE($B$12,A378)</f>
        <v>56584</v>
      </c>
      <c r="C378" s="27" t="n">
        <f aca="false">$B$13</f>
        <v>2075.51390901829</v>
      </c>
      <c r="D378" s="27" t="n">
        <f aca="false">C378-E378</f>
        <v>1918.76058185579</v>
      </c>
      <c r="E378" s="27" t="n">
        <f aca="false">F377*$B$10</f>
        <v>156.753327162496</v>
      </c>
      <c r="F378" s="27" t="n">
        <f aca="false">MAX(0,F377-D378)</f>
        <v>25948.4975803657</v>
      </c>
    </row>
    <row r="379" customFormat="false" ht="15" hidden="false" customHeight="false" outlineLevel="0" collapsed="false">
      <c r="A379" s="14" t="n">
        <v>348</v>
      </c>
      <c r="B379" s="57" t="n">
        <f aca="false">EDATE($B$12,A379)</f>
        <v>56615</v>
      </c>
      <c r="C379" s="27" t="n">
        <f aca="false">$B$13</f>
        <v>2075.51390901829</v>
      </c>
      <c r="D379" s="27" t="n">
        <f aca="false">C379-E379</f>
        <v>1929.55361012873</v>
      </c>
      <c r="E379" s="27" t="n">
        <f aca="false">F378*$B$10</f>
        <v>145.960298889557</v>
      </c>
      <c r="F379" s="27" t="n">
        <f aca="false">MAX(0,F378-D379)</f>
        <v>24018.9439702369</v>
      </c>
    </row>
    <row r="380" customFormat="false" ht="15" hidden="false" customHeight="false" outlineLevel="0" collapsed="false">
      <c r="A380" s="14" t="n">
        <v>349</v>
      </c>
      <c r="B380" s="57" t="n">
        <f aca="false">EDATE($B$12,A380)</f>
        <v>56646</v>
      </c>
      <c r="C380" s="27" t="n">
        <f aca="false">$B$13</f>
        <v>2075.51390901829</v>
      </c>
      <c r="D380" s="27" t="n">
        <f aca="false">C380-E380</f>
        <v>1940.40734918571</v>
      </c>
      <c r="E380" s="27" t="n">
        <f aca="false">F379*$B$10</f>
        <v>135.106559832583</v>
      </c>
      <c r="F380" s="27" t="n">
        <f aca="false">MAX(0,F379-D380)</f>
        <v>22078.5366210512</v>
      </c>
    </row>
    <row r="381" customFormat="false" ht="15" hidden="false" customHeight="false" outlineLevel="0" collapsed="false">
      <c r="A381" s="14" t="n">
        <v>350</v>
      </c>
      <c r="B381" s="57" t="n">
        <f aca="false">EDATE($B$12,A381)</f>
        <v>56674</v>
      </c>
      <c r="C381" s="27" t="n">
        <f aca="false">$B$13</f>
        <v>2075.51390901829</v>
      </c>
      <c r="D381" s="27" t="n">
        <f aca="false">C381-E381</f>
        <v>1951.32214052488</v>
      </c>
      <c r="E381" s="27" t="n">
        <f aca="false">F380*$B$10</f>
        <v>124.191768493413</v>
      </c>
      <c r="F381" s="27" t="n">
        <f aca="false">MAX(0,F380-D381)</f>
        <v>20127.2144805264</v>
      </c>
    </row>
    <row r="382" customFormat="false" ht="15" hidden="false" customHeight="false" outlineLevel="0" collapsed="false">
      <c r="A382" s="14" t="n">
        <v>351</v>
      </c>
      <c r="B382" s="57" t="n">
        <f aca="false">EDATE($B$12,A382)</f>
        <v>56705</v>
      </c>
      <c r="C382" s="27" t="n">
        <f aca="false">$B$13</f>
        <v>2075.51390901829</v>
      </c>
      <c r="D382" s="27" t="n">
        <f aca="false">C382-E382</f>
        <v>1962.29832756533</v>
      </c>
      <c r="E382" s="27" t="n">
        <f aca="false">F381*$B$10</f>
        <v>113.215581452961</v>
      </c>
      <c r="F382" s="27" t="n">
        <f aca="false">MAX(0,F381-D382)</f>
        <v>18164.916152961</v>
      </c>
    </row>
    <row r="383" customFormat="false" ht="15" hidden="false" customHeight="false" outlineLevel="0" collapsed="false">
      <c r="A383" s="14" t="n">
        <v>352</v>
      </c>
      <c r="B383" s="57" t="n">
        <f aca="false">EDATE($B$12,A383)</f>
        <v>56735</v>
      </c>
      <c r="C383" s="27" t="n">
        <f aca="false">$B$13</f>
        <v>2075.51390901829</v>
      </c>
      <c r="D383" s="27" t="n">
        <f aca="false">C383-E383</f>
        <v>1973.33625565788</v>
      </c>
      <c r="E383" s="27" t="n">
        <f aca="false">F382*$B$10</f>
        <v>102.177653360406</v>
      </c>
      <c r="F383" s="27" t="n">
        <f aca="false">MAX(0,F382-D383)</f>
        <v>16191.5798973031</v>
      </c>
    </row>
    <row r="384" customFormat="false" ht="15" hidden="false" customHeight="false" outlineLevel="0" collapsed="false">
      <c r="A384" s="14" t="n">
        <v>353</v>
      </c>
      <c r="B384" s="57" t="n">
        <f aca="false">EDATE($B$12,A384)</f>
        <v>56766</v>
      </c>
      <c r="C384" s="27" t="n">
        <f aca="false">$B$13</f>
        <v>2075.51390901829</v>
      </c>
      <c r="D384" s="27" t="n">
        <f aca="false">C384-E384</f>
        <v>1984.43627209596</v>
      </c>
      <c r="E384" s="27" t="n">
        <f aca="false">F383*$B$10</f>
        <v>91.0776369223302</v>
      </c>
      <c r="F384" s="27" t="n">
        <f aca="false">MAX(0,F383-D384)</f>
        <v>14207.1436252072</v>
      </c>
    </row>
    <row r="385" customFormat="false" ht="15" hidden="false" customHeight="false" outlineLevel="0" collapsed="false">
      <c r="A385" s="14" t="n">
        <v>354</v>
      </c>
      <c r="B385" s="57" t="n">
        <f aca="false">EDATE($B$12,A385)</f>
        <v>56796</v>
      </c>
      <c r="C385" s="27" t="n">
        <f aca="false">$B$13</f>
        <v>2075.51390901829</v>
      </c>
      <c r="D385" s="27" t="n">
        <f aca="false">C385-E385</f>
        <v>1995.5987261265</v>
      </c>
      <c r="E385" s="27" t="n">
        <f aca="false">F384*$B$10</f>
        <v>79.9151828917904</v>
      </c>
      <c r="F385" s="27" t="n">
        <f aca="false">MAX(0,F384-D385)</f>
        <v>12211.5448990807</v>
      </c>
    </row>
    <row r="386" customFormat="false" ht="15" hidden="false" customHeight="false" outlineLevel="0" collapsed="false">
      <c r="A386" s="14" t="n">
        <v>355</v>
      </c>
      <c r="B386" s="57" t="n">
        <f aca="false">EDATE($B$12,A386)</f>
        <v>56827</v>
      </c>
      <c r="C386" s="27" t="n">
        <f aca="false">$B$13</f>
        <v>2075.51390901829</v>
      </c>
      <c r="D386" s="27" t="n">
        <f aca="false">C386-E386</f>
        <v>2006.82396896096</v>
      </c>
      <c r="E386" s="27" t="n">
        <f aca="false">F385*$B$10</f>
        <v>68.6899400573289</v>
      </c>
      <c r="F386" s="27" t="n">
        <f aca="false">MAX(0,F385-D386)</f>
        <v>10204.7209301197</v>
      </c>
    </row>
    <row r="387" customFormat="false" ht="15" hidden="false" customHeight="false" outlineLevel="0" collapsed="false">
      <c r="A387" s="14" t="n">
        <v>356</v>
      </c>
      <c r="B387" s="57" t="n">
        <f aca="false">EDATE($B$12,A387)</f>
        <v>56858</v>
      </c>
      <c r="C387" s="27" t="n">
        <f aca="false">$B$13</f>
        <v>2075.51390901829</v>
      </c>
      <c r="D387" s="27" t="n">
        <f aca="false">C387-E387</f>
        <v>2018.11235378637</v>
      </c>
      <c r="E387" s="27" t="n">
        <f aca="false">F386*$B$10</f>
        <v>57.4015552319235</v>
      </c>
      <c r="F387" s="27" t="n">
        <f aca="false">MAX(0,F386-D387)</f>
        <v>8186.60857633336</v>
      </c>
    </row>
    <row r="388" customFormat="false" ht="15" hidden="false" customHeight="false" outlineLevel="0" collapsed="false">
      <c r="A388" s="14" t="n">
        <v>357</v>
      </c>
      <c r="B388" s="57" t="n">
        <f aca="false">EDATE($B$12,A388)</f>
        <v>56888</v>
      </c>
      <c r="C388" s="27" t="n">
        <f aca="false">$B$13</f>
        <v>2075.51390901829</v>
      </c>
      <c r="D388" s="27" t="n">
        <f aca="false">C388-E388</f>
        <v>2029.46423577641</v>
      </c>
      <c r="E388" s="27" t="n">
        <f aca="false">F387*$B$10</f>
        <v>46.0496732418752</v>
      </c>
      <c r="F388" s="27" t="n">
        <f aca="false">MAX(0,F387-D388)</f>
        <v>6157.14434055695</v>
      </c>
    </row>
    <row r="389" customFormat="false" ht="15" hidden="false" customHeight="false" outlineLevel="0" collapsed="false">
      <c r="A389" s="14" t="n">
        <v>358</v>
      </c>
      <c r="B389" s="57" t="n">
        <f aca="false">EDATE($B$12,A389)</f>
        <v>56919</v>
      </c>
      <c r="C389" s="27" t="n">
        <f aca="false">$B$13</f>
        <v>2075.51390901829</v>
      </c>
      <c r="D389" s="27" t="n">
        <f aca="false">C389-E389</f>
        <v>2040.87997210266</v>
      </c>
      <c r="E389" s="27" t="n">
        <f aca="false">F388*$B$10</f>
        <v>34.6339369156328</v>
      </c>
      <c r="F389" s="27" t="n">
        <f aca="false">MAX(0,F388-D389)</f>
        <v>4116.26436845429</v>
      </c>
    </row>
    <row r="390" customFormat="false" ht="15" hidden="false" customHeight="false" outlineLevel="0" collapsed="false">
      <c r="A390" s="14" t="n">
        <v>359</v>
      </c>
      <c r="B390" s="57" t="n">
        <f aca="false">EDATE($B$12,A390)</f>
        <v>56949</v>
      </c>
      <c r="C390" s="27" t="n">
        <f aca="false">$B$13</f>
        <v>2075.51390901829</v>
      </c>
      <c r="D390" s="27" t="n">
        <f aca="false">C390-E390</f>
        <v>2052.35992194573</v>
      </c>
      <c r="E390" s="27" t="n">
        <f aca="false">F389*$B$10</f>
        <v>23.1539870725554</v>
      </c>
      <c r="F390" s="27" t="n">
        <f aca="false">MAX(0,F389-D390)</f>
        <v>2063.90444650856</v>
      </c>
    </row>
    <row r="391" customFormat="false" ht="15" hidden="false" customHeight="false" outlineLevel="0" collapsed="false">
      <c r="A391" s="14" t="n">
        <v>360</v>
      </c>
      <c r="B391" s="57" t="n">
        <f aca="false">EDATE($B$12,A391)</f>
        <v>56980</v>
      </c>
      <c r="C391" s="27" t="n">
        <f aca="false">$B$13</f>
        <v>2075.51390901829</v>
      </c>
      <c r="D391" s="27" t="n">
        <f aca="false">C391-E391</f>
        <v>2063.90444650668</v>
      </c>
      <c r="E391" s="27" t="n">
        <f aca="false">F390*$B$10</f>
        <v>11.6094625116106</v>
      </c>
      <c r="F391" s="27" t="n">
        <f aca="false">MAX(0,F390-D391)</f>
        <v>1.87856130651198E-009</v>
      </c>
    </row>
    <row r="392" customFormat="false" ht="15" hidden="false" customHeight="false" outlineLevel="0" collapsed="false">
      <c r="A392" s="58" t="s">
        <v>122</v>
      </c>
      <c r="C392" s="59" t="n">
        <f aca="false">SUM(C32:C391)</f>
        <v>747185.007246584</v>
      </c>
      <c r="E392" s="59" t="n">
        <f aca="false">SUM(E32:E391)</f>
        <v>427185.007246586</v>
      </c>
    </row>
  </sheetData>
  <mergeCells count="5">
    <mergeCell ref="A1:F1"/>
    <mergeCell ref="A3:C3"/>
    <mergeCell ref="A15:C15"/>
    <mergeCell ref="A19:C19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60" t="s">
        <v>123</v>
      </c>
      <c r="B1" s="60"/>
      <c r="C1" s="60"/>
    </row>
    <row r="3" customFormat="false" ht="19.5" hidden="false" customHeight="true" outlineLevel="0" collapsed="false">
      <c r="A3" s="61" t="s">
        <v>124</v>
      </c>
      <c r="B3" s="61"/>
      <c r="C3" s="61"/>
    </row>
    <row r="4" customFormat="false" ht="15" hidden="false" customHeight="false" outlineLevel="0" collapsed="false">
      <c r="A4" s="62" t="s">
        <v>125</v>
      </c>
      <c r="B4" s="62" t="s">
        <v>126</v>
      </c>
      <c r="C4" s="62" t="s">
        <v>127</v>
      </c>
    </row>
    <row r="5" customFormat="false" ht="15" hidden="false" customHeight="false" outlineLevel="0" collapsed="false">
      <c r="A5" s="14" t="s">
        <v>128</v>
      </c>
      <c r="B5" s="26" t="n">
        <v>5000</v>
      </c>
      <c r="C5" s="63" t="s">
        <v>129</v>
      </c>
    </row>
    <row r="6" customFormat="false" ht="15" hidden="false" customHeight="false" outlineLevel="0" collapsed="false">
      <c r="A6" s="14" t="s">
        <v>130</v>
      </c>
      <c r="B6" s="26" t="n">
        <v>12000</v>
      </c>
      <c r="C6" s="63"/>
    </row>
    <row r="7" customFormat="false" ht="15" hidden="false" customHeight="false" outlineLevel="0" collapsed="false">
      <c r="A7" s="14" t="s">
        <v>131</v>
      </c>
      <c r="B7" s="26" t="n">
        <v>45000</v>
      </c>
      <c r="C7" s="63" t="s">
        <v>132</v>
      </c>
    </row>
    <row r="8" customFormat="false" ht="15" hidden="false" customHeight="false" outlineLevel="0" collapsed="false">
      <c r="A8" s="14" t="s">
        <v>133</v>
      </c>
      <c r="B8" s="26" t="n">
        <v>85000</v>
      </c>
      <c r="C8" s="63"/>
    </row>
    <row r="9" customFormat="false" ht="15" hidden="false" customHeight="false" outlineLevel="0" collapsed="false">
      <c r="A9" s="14" t="s">
        <v>134</v>
      </c>
      <c r="B9" s="26" t="n">
        <v>400000</v>
      </c>
      <c r="C9" s="63" t="s">
        <v>135</v>
      </c>
    </row>
    <row r="10" customFormat="false" ht="15" hidden="false" customHeight="false" outlineLevel="0" collapsed="false">
      <c r="A10" s="14" t="s">
        <v>136</v>
      </c>
      <c r="B10" s="26" t="n">
        <v>22000</v>
      </c>
      <c r="C10" s="63"/>
    </row>
    <row r="11" customFormat="false" ht="15" hidden="false" customHeight="false" outlineLevel="0" collapsed="false">
      <c r="A11" s="14" t="s">
        <v>137</v>
      </c>
      <c r="B11" s="26" t="n">
        <v>0</v>
      </c>
      <c r="C11" s="63"/>
    </row>
    <row r="12" customFormat="false" ht="15" hidden="false" customHeight="false" outlineLevel="0" collapsed="false">
      <c r="A12" s="64" t="s">
        <v>138</v>
      </c>
      <c r="B12" s="65" t="n">
        <f aca="false">SUM(B5:B11)</f>
        <v>569000</v>
      </c>
    </row>
    <row r="14" customFormat="false" ht="19.5" hidden="false" customHeight="true" outlineLevel="0" collapsed="false">
      <c r="A14" s="32" t="s">
        <v>139</v>
      </c>
      <c r="B14" s="32"/>
      <c r="C14" s="32"/>
    </row>
    <row r="15" customFormat="false" ht="15" hidden="false" customHeight="false" outlineLevel="0" collapsed="false">
      <c r="A15" s="33" t="s">
        <v>140</v>
      </c>
      <c r="B15" s="33" t="s">
        <v>17</v>
      </c>
      <c r="C15" s="33" t="s">
        <v>127</v>
      </c>
    </row>
    <row r="16" customFormat="false" ht="15" hidden="false" customHeight="false" outlineLevel="0" collapsed="false">
      <c r="A16" s="14" t="s">
        <v>141</v>
      </c>
      <c r="B16" s="26" t="n">
        <v>320000</v>
      </c>
      <c r="C16" s="63" t="s">
        <v>142</v>
      </c>
    </row>
    <row r="17" customFormat="false" ht="15" hidden="false" customHeight="false" outlineLevel="0" collapsed="false">
      <c r="A17" s="14" t="s">
        <v>143</v>
      </c>
      <c r="B17" s="26" t="n">
        <v>15000</v>
      </c>
      <c r="C17" s="63"/>
    </row>
    <row r="18" customFormat="false" ht="15" hidden="false" customHeight="false" outlineLevel="0" collapsed="false">
      <c r="A18" s="14" t="s">
        <v>144</v>
      </c>
      <c r="B18" s="26" t="n">
        <v>0</v>
      </c>
      <c r="C18" s="63"/>
    </row>
    <row r="19" customFormat="false" ht="15" hidden="false" customHeight="false" outlineLevel="0" collapsed="false">
      <c r="A19" s="14" t="s">
        <v>145</v>
      </c>
      <c r="B19" s="26" t="n">
        <v>0</v>
      </c>
      <c r="C19" s="63"/>
    </row>
    <row r="20" customFormat="false" ht="15" hidden="false" customHeight="false" outlineLevel="0" collapsed="false">
      <c r="A20" s="14" t="s">
        <v>146</v>
      </c>
      <c r="B20" s="26" t="n">
        <v>0</v>
      </c>
      <c r="C20" s="63"/>
    </row>
    <row r="21" customFormat="false" ht="15" hidden="false" customHeight="false" outlineLevel="0" collapsed="false">
      <c r="A21" s="14" t="s">
        <v>147</v>
      </c>
      <c r="B21" s="26" t="n">
        <v>0</v>
      </c>
      <c r="C21" s="63"/>
    </row>
    <row r="22" customFormat="false" ht="15" hidden="false" customHeight="false" outlineLevel="0" collapsed="false">
      <c r="A22" s="66" t="s">
        <v>148</v>
      </c>
      <c r="B22" s="67" t="n">
        <f aca="false">SUM(B16:B21)</f>
        <v>335000</v>
      </c>
    </row>
    <row r="24" customFormat="false" ht="19.5" hidden="false" customHeight="true" outlineLevel="0" collapsed="false">
      <c r="A24" s="68" t="s">
        <v>149</v>
      </c>
      <c r="B24" s="68"/>
      <c r="C24" s="68"/>
    </row>
    <row r="25" customFormat="false" ht="15" hidden="false" customHeight="false" outlineLevel="0" collapsed="false">
      <c r="A25" s="69" t="s">
        <v>138</v>
      </c>
      <c r="B25" s="27" t="n">
        <f aca="false">B12</f>
        <v>569000</v>
      </c>
    </row>
    <row r="26" customFormat="false" ht="15" hidden="false" customHeight="false" outlineLevel="0" collapsed="false">
      <c r="A26" s="69" t="s">
        <v>148</v>
      </c>
      <c r="B26" s="27" t="n">
        <f aca="false">B22</f>
        <v>335000</v>
      </c>
    </row>
    <row r="27" customFormat="false" ht="15" hidden="false" customHeight="false" outlineLevel="0" collapsed="false">
      <c r="A27" s="70" t="s">
        <v>1</v>
      </c>
      <c r="B27" s="71" t="n">
        <f aca="false">B25-B26</f>
        <v>234000</v>
      </c>
    </row>
    <row r="28" customFormat="false" ht="15" hidden="false" customHeight="false" outlineLevel="0" collapsed="false">
      <c r="A28" s="69" t="s">
        <v>24</v>
      </c>
      <c r="B28" s="27" t="n">
        <f aca="false">B9-B16</f>
        <v>80000</v>
      </c>
    </row>
    <row r="29" customFormat="false" ht="15" hidden="false" customHeight="false" outlineLevel="0" collapsed="false">
      <c r="A29" s="69" t="s">
        <v>150</v>
      </c>
      <c r="B29" s="28" t="n">
        <f aca="false">IFERROR(B22/B12,0)</f>
        <v>0.588752196836555</v>
      </c>
    </row>
    <row r="32" customFormat="false" ht="19.5" hidden="false" customHeight="true" outlineLevel="0" collapsed="false">
      <c r="A32" s="68" t="s">
        <v>151</v>
      </c>
      <c r="B32" s="68"/>
      <c r="C32" s="68"/>
      <c r="D32" s="68"/>
    </row>
    <row r="33" customFormat="false" ht="15" hidden="false" customHeight="false" outlineLevel="0" collapsed="false">
      <c r="A33" s="62" t="s">
        <v>32</v>
      </c>
      <c r="B33" s="62" t="s">
        <v>138</v>
      </c>
      <c r="C33" s="62" t="s">
        <v>148</v>
      </c>
      <c r="D33" s="62" t="s">
        <v>152</v>
      </c>
    </row>
    <row r="34" customFormat="false" ht="15" hidden="false" customHeight="false" outlineLevel="0" collapsed="false">
      <c r="A34" s="43" t="s">
        <v>153</v>
      </c>
      <c r="B34" s="72"/>
      <c r="C34" s="72"/>
      <c r="D34" s="15" t="str">
        <f aca="false">IF(B34&lt;&gt;"",B34-C34,"")</f>
        <v/>
      </c>
    </row>
    <row r="35" customFormat="false" ht="15" hidden="false" customHeight="false" outlineLevel="0" collapsed="false">
      <c r="A35" s="43" t="s">
        <v>154</v>
      </c>
      <c r="B35" s="72"/>
      <c r="C35" s="72"/>
      <c r="D35" s="15" t="str">
        <f aca="false">IF(B35&lt;&gt;"",B35-C35,"")</f>
        <v/>
      </c>
    </row>
    <row r="36" customFormat="false" ht="15" hidden="false" customHeight="false" outlineLevel="0" collapsed="false">
      <c r="A36" s="43" t="s">
        <v>155</v>
      </c>
      <c r="B36" s="72"/>
      <c r="C36" s="72"/>
      <c r="D36" s="15" t="str">
        <f aca="false">IF(B36&lt;&gt;"",B36-C36,"")</f>
        <v/>
      </c>
    </row>
    <row r="37" customFormat="false" ht="15" hidden="false" customHeight="false" outlineLevel="0" collapsed="false">
      <c r="A37" s="43" t="s">
        <v>156</v>
      </c>
      <c r="B37" s="72"/>
      <c r="C37" s="72"/>
      <c r="D37" s="15" t="str">
        <f aca="false">IF(B37&lt;&gt;"",B37-C37,"")</f>
        <v/>
      </c>
    </row>
    <row r="38" customFormat="false" ht="15" hidden="false" customHeight="false" outlineLevel="0" collapsed="false">
      <c r="A38" s="43" t="s">
        <v>157</v>
      </c>
      <c r="B38" s="72"/>
      <c r="C38" s="72"/>
      <c r="D38" s="15" t="str">
        <f aca="false">IF(B38&lt;&gt;"",B38-C38,"")</f>
        <v/>
      </c>
    </row>
    <row r="39" customFormat="false" ht="15" hidden="false" customHeight="false" outlineLevel="0" collapsed="false">
      <c r="A39" s="43" t="s">
        <v>158</v>
      </c>
      <c r="B39" s="72"/>
      <c r="C39" s="72"/>
      <c r="D39" s="15" t="str">
        <f aca="false">IF(B39&lt;&gt;"",B39-C39,"")</f>
        <v/>
      </c>
    </row>
    <row r="40" customFormat="false" ht="15" hidden="false" customHeight="false" outlineLevel="0" collapsed="false">
      <c r="A40" s="43" t="s">
        <v>159</v>
      </c>
      <c r="B40" s="72"/>
      <c r="C40" s="72"/>
      <c r="D40" s="15" t="str">
        <f aca="false">IF(B40&lt;&gt;"",B40-C40,"")</f>
        <v/>
      </c>
    </row>
    <row r="41" customFormat="false" ht="15" hidden="false" customHeight="false" outlineLevel="0" collapsed="false">
      <c r="A41" s="43" t="s">
        <v>160</v>
      </c>
      <c r="B41" s="72"/>
      <c r="C41" s="72"/>
      <c r="D41" s="15" t="str">
        <f aca="false">IF(B41&lt;&gt;"",B41-C41,"")</f>
        <v/>
      </c>
    </row>
    <row r="42" customFormat="false" ht="15" hidden="false" customHeight="false" outlineLevel="0" collapsed="false">
      <c r="A42" s="43" t="s">
        <v>161</v>
      </c>
      <c r="B42" s="72"/>
      <c r="C42" s="72"/>
      <c r="D42" s="15" t="str">
        <f aca="false">IF(B42&lt;&gt;"",B42-C42,"")</f>
        <v/>
      </c>
    </row>
    <row r="43" customFormat="false" ht="15" hidden="false" customHeight="false" outlineLevel="0" collapsed="false">
      <c r="A43" s="43" t="s">
        <v>162</v>
      </c>
      <c r="B43" s="72"/>
      <c r="C43" s="72"/>
      <c r="D43" s="15" t="str">
        <f aca="false">IF(B43&lt;&gt;"",B43-C43,"")</f>
        <v/>
      </c>
    </row>
    <row r="44" customFormat="false" ht="15" hidden="false" customHeight="false" outlineLevel="0" collapsed="false">
      <c r="A44" s="43" t="s">
        <v>163</v>
      </c>
      <c r="B44" s="72"/>
      <c r="C44" s="72"/>
      <c r="D44" s="15" t="str">
        <f aca="false">IF(B44&lt;&gt;"",B44-C44,"")</f>
        <v/>
      </c>
    </row>
    <row r="45" customFormat="false" ht="15" hidden="false" customHeight="false" outlineLevel="0" collapsed="false">
      <c r="A45" s="43" t="s">
        <v>164</v>
      </c>
      <c r="B45" s="72"/>
      <c r="C45" s="72"/>
      <c r="D45" s="15" t="str">
        <f aca="false">IF(B45&lt;&gt;"",B45-C45,"")</f>
        <v/>
      </c>
    </row>
  </sheetData>
  <mergeCells count="5">
    <mergeCell ref="A1:C1"/>
    <mergeCell ref="A3:C3"/>
    <mergeCell ref="A14:C14"/>
    <mergeCell ref="A24:C24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2026-03-30T16:47:36Z</dcterms:created>
  <dc:creator>openpyxl</dc:creator>
  <dc:description/>
  <dc:language>en-US</dc:language>
  <cp:lastModifiedBy/>
  <dcterms:modified xsi:type="dcterms:W3CDTF">2026-03-30T16:47:37Z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