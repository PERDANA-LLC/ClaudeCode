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User Guide" sheetId="1" state="visible" r:id="rId3"/>
    <sheet name="📊 Dashboard" sheetId="2" state="visible" r:id="rId4"/>
    <sheet name="💼 Business Revenue" sheetId="3" state="visible" r:id="rId5"/>
    <sheet name="💳 Expenses" sheetId="4" state="visible" r:id="rId6"/>
    <sheet name="📅 Budget" sheetId="5" state="visible" r:id="rId7"/>
    <sheet name="💰 Savings Goals" sheetId="6" state="visible" r:id="rId8"/>
    <sheet name="🏦 Debt Tracker" sheetId="7" state="visible" r:id="rId9"/>
    <sheet name="📈 Net Worth" sheetId="8" state="visible" r:id="rId10"/>
    <sheet name="🧾 Tax Estima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<sst xmlns="http://schemas.openxmlformats.org/spreadsheetml/2006/main" count="399" uniqueCount="332">
  <si>
    <t xml:space="preserve">  💼  Cash in Blue LLC — Personal Finance Dashboard</t>
  </si>
  <si>
    <t xml:space="preserve">  User Guide  ·  Start here to understand how to use each sheet</t>
  </si>
  <si>
    <t xml:space="preserve">  HOW THIS FILE WORKS</t>
  </si>
  <si>
    <t xml:space="preserve">This dashboard has 8 sheets. Each sheet has a specific job. You only need to type in a few blue-labeled cells — everything else calculates automatically.</t>
  </si>
  <si>
    <t xml:space="preserve">Start with 💼 Business Revenue and 💳 Expenses each month. The 📊 Dashboard, 📅 Budget, and 📈 Net Worth sheets update on their own.</t>
  </si>
  <si>
    <t xml:space="preserve">Blue cells = your inputs.  Everything else = automatic.</t>
  </si>
  <si>
    <t xml:space="preserve">Sheet</t>
  </si>
  <si>
    <t xml:space="preserve">What it does</t>
  </si>
  <si>
    <t xml:space="preserve">Do you type here?</t>
  </si>
  <si>
    <t xml:space="preserve">📊 Dashboard</t>
  </si>
  <si>
    <t xml:space="preserve">Your at-a-glance summary. Shows net worth, revenue, expenses, savings goals, and budget health in one place.</t>
  </si>
  <si>
    <t xml:space="preserve">No — read only</t>
  </si>
  <si>
    <t xml:space="preserve">💼 Business Revenue</t>
  </si>
  <si>
    <t xml:space="preserve">Log your income each month by stream (GEO/SEO, insurance, loans, AI, other). Also tracks YTD totals.</t>
  </si>
  <si>
    <t xml:space="preserve">Yes — enter revenue</t>
  </si>
  <si>
    <t xml:space="preserve">💳 Expenses</t>
  </si>
  <si>
    <t xml:space="preserve">Log every expense with date, category, type (personal/business), and amount. Mark LLC-deductible items.</t>
  </si>
  <si>
    <t xml:space="preserve">Yes — enter expenses</t>
  </si>
  <si>
    <t xml:space="preserve">📅 Budget</t>
  </si>
  <si>
    <t xml:space="preserve">Shows your budget targets vs. what you actually spent. Updates automatically from Expenses.</t>
  </si>
  <si>
    <t xml:space="preserve">Optional — adjust budget targets</t>
  </si>
  <si>
    <t xml:space="preserve">💰 Savings Goals</t>
  </si>
  <si>
    <t xml:space="preserve">Track progress toward your savings goals (emergency fund, $100K, investments, etc.).</t>
  </si>
  <si>
    <t xml:space="preserve">Yes — update saved amounts</t>
  </si>
  <si>
    <t xml:space="preserve">🏦 Debt Tracker</t>
  </si>
  <si>
    <t xml:space="preserve">Lists all debts with balances, APR, and payments. Estimates payoff dates automatically.</t>
  </si>
  <si>
    <t xml:space="preserve">Yes — update balances &amp; extra payments</t>
  </si>
  <si>
    <t xml:space="preserve">📈 Net Worth</t>
  </si>
  <si>
    <t xml:space="preserve">Tracks total assets vs. liabilities and logs your net worth each month.</t>
  </si>
  <si>
    <t xml:space="preserve">Yes — update asset/liability values</t>
  </si>
  <si>
    <t xml:space="preserve">🧾 Tax Estimate</t>
  </si>
  <si>
    <t xml:space="preserve">Estimates your quarterly self-employment tax based on annual revenue and deductions.</t>
  </si>
  <si>
    <t xml:space="preserve">Yes — update revenue and deductions</t>
  </si>
  <si>
    <t xml:space="preserve">  📊 Dashboard</t>
  </si>
  <si>
    <t xml:space="preserve">  Read-only summary — no typing needed here</t>
  </si>
  <si>
    <t xml:space="preserve">  ▸  What you see</t>
  </si>
  <si>
    <t xml:space="preserve">The top row shows 6 key numbers pulled automatically from your other sheets:
• Net Worth — your total assets minus all debts
• Monthly Revenue — total income entered this month
• Monthly Expenses — total spending entered this month
• Savings Rate — % of revenue left after expenses
• Total Debt — sum of all debt balances
• Cash on Hand — same as your net worth (update manually if needed)</t>
  </si>
  <si>
    <t xml:space="preserve">  ▸  Revenue by Stream</t>
  </si>
  <si>
    <t xml:space="preserve">Shows how each revenue stream (GEO/SEO, Insurance, Loans, AI, Other) is performing vs. your monthly target. The % of Target column tells you if you're on track. Targets are set in the Dashboard sheet itself (column B, rows 10–14) — you can update those numbers directly.</t>
  </si>
  <si>
    <t xml:space="preserve">  ▸  Savings Goals snapshot</t>
  </si>
  <si>
    <t xml:space="preserve">Shows a quick view of your 3 main savings goals pulled from the 💰 Savings Goals sheet. To update, go to that sheet and change the Saved ($) column.</t>
  </si>
  <si>
    <t xml:space="preserve">  💼 Business Revenue</t>
  </si>
  <si>
    <t xml:space="preserve">  Log your income here every month</t>
  </si>
  <si>
    <t xml:space="preserve">  ▸  What to update monthly</t>
  </si>
  <si>
    <t xml:space="preserve">In the Income Streams table (rows 9–13), update column B (This Month $) with what you actually earned from each stream:
• GEO/SEO Clients
• Life Insurance Commissions
• Loan Referrals
• AI Partnerships
• Other / Misc
The Total row and all Dashboard numbers update automatically.</t>
  </si>
  <si>
    <t xml:space="preserve">  ▸  YTD column</t>
  </si>
  <si>
    <t xml:space="preserve">Column C (YTD $) — type the year-to-date total for each stream. This does not auto-calculate; you update it manually each month.</t>
  </si>
  <si>
    <t xml:space="preserve">  ▸  Monthly Revenue Log (rows 18–30)</t>
  </si>
  <si>
    <t xml:space="preserve">Use this table to record totals by month across the year. Enter the dollar amount for each stream in the matching month row. The G column (Total) adds them up automatically.</t>
  </si>
  <si>
    <t xml:space="preserve">  ▸  vs Target column</t>
  </si>
  <si>
    <t xml:space="preserve">Column E shows how far above or below your monthly target you are. A positive number means you exceeded target; negative means you're short. Targets are set in column D — update those if your goals change.</t>
  </si>
  <si>
    <t xml:space="preserve">  💳 Expenses</t>
  </si>
  <si>
    <t xml:space="preserve">  Add every expense here — this feeds your Budget sheet automatically</t>
  </si>
  <si>
    <t xml:space="preserve">  ▸  How to add an expense</t>
  </si>
  <si>
    <t xml:space="preserve">Go to the next empty row in the Expense Log (starting around row 9). Fill in:
• Date — when the expense occurred (e.g. 2026-03-15)
• Category — type of expense (Housing, Food, Marketing, etc.)
• Description — brief label (e.g. 'Rent', 'Google Ads')
• Type — Personal or Business
• Amount ($) — the dollar amount (positive number)
• LLC Deductible? — Yes or No
• Notes — optional (e.g. '50% deductible')</t>
  </si>
  <si>
    <t xml:space="preserve">  ▸  Totals at the top</t>
  </si>
  <si>
    <t xml:space="preserve">• Total Expenses (C3) — sums everything in the Amount column automatically
• LLC Deductible Total (C4) — sums only rows marked Yes in the Deductible column
These numbers flow into the Dashboard and Budget sheets — do not edit them directly.</t>
  </si>
  <si>
    <t xml:space="preserve">  ▸  Tip: Business vs. Personal</t>
  </si>
  <si>
    <t xml:space="preserve">Marking expenses as Business and setting LLC Deductible = Yes helps you track what may be tax-deductible. The Tax Estimate sheet uses the total deductible amount to calculate your estimated tax owed.</t>
  </si>
  <si>
    <t xml:space="preserve">  📅 Budget</t>
  </si>
  <si>
    <t xml:space="preserve">  See how your actual spending compares to your targets</t>
  </si>
  <si>
    <t xml:space="preserve">  ▸  How it works</t>
  </si>
  <si>
    <t xml:space="preserve">Each row in the Budget sheet is a spending category. The Actual ($) column pulls the matching expense directly from the 💳 Expenses sheet — you do not type in the Actual column. The Status column shows ✅ Under or ⚠️ Over automatically.</t>
  </si>
  <si>
    <t xml:space="preserve">  ▸  Adjusting your budget targets</t>
  </si>
  <si>
    <t xml:space="preserve">Column B (Budget $) is where you set your monthly spending target per category. These are the only cells you should edit on this sheet. Change them whenever your financial situation changes.</t>
  </si>
  <si>
    <t xml:space="preserve">  ▸  Reading the Variance column</t>
  </si>
  <si>
    <t xml:space="preserve">• Positive variance = you spent less than budgeted (good)
• Negative variance = you went over budget (needs attention)
The Variance % column shows how far off you are as a percentage of your target.</t>
  </si>
  <si>
    <t xml:space="preserve">  ▸  Important note on how actuals link</t>
  </si>
  <si>
    <t xml:space="preserve">Each Budget row pulls one specific expense row from the Expenses sheet. If you add new expense categories or rearrange rows in 💳 Expenses, the Budget links may need to be updated. Keep the Expenses rows in the same order as the budget categories to avoid mismatches.</t>
  </si>
  <si>
    <t xml:space="preserve">  💰 Savings Goals</t>
  </si>
  <si>
    <t xml:space="preserve">  Track progress toward your financial milestones</t>
  </si>
  <si>
    <t xml:space="preserve">  ▸  What's tracked</t>
  </si>
  <si>
    <t xml:space="preserve">This sheet tracks 5 goals: Emergency Fund, First $100K Milestone, Investment/Brokerage, Vehicle Down Payment, and Vacation/Travel Fund.</t>
  </si>
  <si>
    <t xml:space="preserve">  ▸  What to update</t>
  </si>
  <si>
    <t xml:space="preserve">• Target ($) — your goal amount (change if your target changes)
• Saved ($) — how much you've saved so far toward this goal
• Monthly Add ($) — how much you plan to add each month
Everything else (Remaining, % Complete, ETA in months) calculates automatically.</t>
  </si>
  <si>
    <t xml:space="preserve">  ▸  ETA column</t>
  </si>
  <si>
    <t xml:space="preserve">The ETA (months) column estimates how many more months until you reach your goal at your current monthly contribution rate. If Monthly Add is 0 or blank, it shows N/A.</t>
  </si>
  <si>
    <t xml:space="preserve">  🏦 Debt Tracker</t>
  </si>
  <si>
    <t xml:space="preserve">  Monitor all debts and see estimated payoff dates</t>
  </si>
  <si>
    <t xml:space="preserve">  ▸  What's listed</t>
  </si>
  <si>
    <t xml:space="preserve">Each row is a debt: Chase Sapphire, Capital One, Student Loan, Car Note, Personal Loan. The Total Debt and Total Monthly Payments at the top update automatically.</t>
  </si>
  <si>
    <t xml:space="preserve">• Balance ($) — update with your current balance each month
• Min Payment ($) — your required minimum payment
• Extra ($) — any extra amount you're putting toward this debt
The Total Payment column adds Min + Extra. The Payoff Date column estimates when the debt will be paid off based on total payments.</t>
  </si>
  <si>
    <t xml:space="preserve">  ▸  APR column</t>
  </si>
  <si>
    <t xml:space="preserve">APR (%) is entered as a decimal — for example, 24.99% is entered as 0.2499. It's used to calculate payoff dates. Update it if your rate changes.</t>
  </si>
  <si>
    <t xml:space="preserve">  ▸  Adding a new debt</t>
  </si>
  <si>
    <t xml:space="preserve">Type the creditor name, type, balance, APR, and minimum payment in a new row. Copy the Total Payment and Payoff Date formulas from an existing row down to the new one.</t>
  </si>
  <si>
    <t xml:space="preserve">  📈 Net Worth</t>
  </si>
  <si>
    <t xml:space="preserve">  Track your total financial picture month by month</t>
  </si>
  <si>
    <t xml:space="preserve">  ▸  Assets section</t>
  </si>
  <si>
    <t xml:space="preserve">Update the Value ($) column with current balances for each asset:
• Checking Account, Savings Account, Business Checking
• Brokerage / Investments, 401k / Retirement
• Vehicle (estimated resale value)
• Other Assets (any additional property or holdings)
Total Assets updates automatically.</t>
  </si>
  <si>
    <t xml:space="preserve">  ▸  Liabilities section</t>
  </si>
  <si>
    <t xml:space="preserve">Update Balance ($) for each liability to match your current debt balances. These should match what you enter in 🏦 Debt Tracker.
Total Liabilities updates automatically.</t>
  </si>
  <si>
    <t xml:space="preserve">  ▸  Net Worth cell</t>
  </si>
  <si>
    <t xml:space="preserve">Net Worth (row 24, column C) = Total Assets − Total Liabilities. This number also appears on your 📊 Dashboard.</t>
  </si>
  <si>
    <t xml:space="preserve">  ▸  Monthly Snapshot Log</t>
  </si>
  <si>
    <t xml:space="preserve">Once a month, copy your Total Assets, Total Liabilities, and Net Worth values into the next available row in the snapshot table (rows 29+). Important: paste as values only (right-click → Paste Special → Values) so the history doesn't change when your live numbers update. The Change column calculates automatically.</t>
  </si>
  <si>
    <t xml:space="preserve">  🧾 Tax Estimate</t>
  </si>
  <si>
    <t xml:space="preserve">  Estimate your self-employment tax and quarterly payments</t>
  </si>
  <si>
    <t xml:space="preserve">  ▸  Blue input cells (top section)</t>
  </si>
  <si>
    <t xml:space="preserve">These are the only cells you edit on this sheet:
• Annual Gross Revenue ($) — your expected total revenue for the year
• LLC Deductible Expenses ($) — matches the total from 💳 Expenses
• Other Deductions — standard deduction or QBI deduction amount
• SE Tax Rate — default 15.3% (entered as 0.153)
• Federal Income Tax Rate — your estimated bracket (e.g. 0.22 for 22%)
• State Income Tax Rate — your state rate (leave blank if no state income tax)</t>
  </si>
  <si>
    <t xml:space="preserve">  ▸  Calculated figures</t>
  </si>
  <si>
    <t xml:space="preserve">All tax calculations update automatically once you fill in the blue cells:
• SE Tax, QBI Deduction, Adjusted Gross Income, Federal and State Tax
• Total Tax Due (Annual) and your Effective Tax Rate</t>
  </si>
  <si>
    <t xml:space="preserve">  ▸  Quarterly Payments table</t>
  </si>
  <si>
    <t xml:space="preserve">Shows the 4 quarterly due dates (Apr 15, Jun 16, Sep 15, Jan 15). Each quarter's payment amount = Annual Tax ÷ 4, calculated automatically.
Enter the amount you actually paid in the Paid ($) column. The Status column will show ✅ Paid or ⚠️ Due automatically.</t>
  </si>
  <si>
    <t xml:space="preserve">  YOUR MONTHLY ROUTINE  (~10 minutes on the 1st of each month)</t>
  </si>
  <si>
    <t xml:space="preserve">  1.  Open 💼 Business Revenue</t>
  </si>
  <si>
    <t xml:space="preserve">       Update column B (This Month $) for each income stream with what you actually earned.</t>
  </si>
  <si>
    <t xml:space="preserve">  2.  Open 💳 Expenses</t>
  </si>
  <si>
    <t xml:space="preserve">       Add all new expenses from the month. Fill in date, category, type, amount, and deductible status.</t>
  </si>
  <si>
    <t xml:space="preserve">  3.  Check 📅 Budget</t>
  </si>
  <si>
    <t xml:space="preserve">       Review the Status column. If any category shows ⚠️ Over, note it and decide if you'll adjust next month's budget.</t>
  </si>
  <si>
    <t xml:space="preserve">  4.  Update 💰 Savings Goals</t>
  </si>
  <si>
    <t xml:space="preserve">       Bump up the Saved ($) column for any goals you contributed to this month.</t>
  </si>
  <si>
    <t xml:space="preserve">  5.  Update 🏦 Debt Tracker</t>
  </si>
  <si>
    <t xml:space="preserve">       Enter your current balance for each debt. Add any extra payments you made.</t>
  </si>
  <si>
    <t xml:space="preserve">  6.  Update 📈 Net Worth</t>
  </si>
  <si>
    <t xml:space="preserve">       Refresh asset values (check account balances, investment values). Then copy the totals into the monthly snapshot log.</t>
  </si>
  <si>
    <t xml:space="preserve">  7.  Glance at 📊 Dashboard</t>
  </si>
  <si>
    <t xml:space="preserve">       All numbers should now reflect the month. Check net worth trend, savings rate, and revenue vs. targets.</t>
  </si>
  <si>
    <t xml:space="preserve">  Cash in Blue LLC Personal Finance Dashboard  ·  Blue cells are your inputs  ·  Everything else calculates automatically</t>
  </si>
  <si>
    <t xml:space="preserve">💼 Cash in Blue LLC — Personal Finance Dashboard</t>
  </si>
  <si>
    <t xml:space="preserve">Owner: Thomas Perdana  |  Updated: March 2026</t>
  </si>
  <si>
    <t xml:space="preserve">Net Worth</t>
  </si>
  <si>
    <t xml:space="preserve">Monthly Revenue</t>
  </si>
  <si>
    <t xml:space="preserve">Monthly Expenses</t>
  </si>
  <si>
    <t xml:space="preserve">Savings Rate</t>
  </si>
  <si>
    <t xml:space="preserve">Total Debt</t>
  </si>
  <si>
    <t xml:space="preserve">Cash on Hand</t>
  </si>
  <si>
    <t xml:space="preserve">  📊 Revenue by Stream (This Month)</t>
  </si>
  <si>
    <t xml:space="preserve">Revenue Stream</t>
  </si>
  <si>
    <t xml:space="preserve">Target ($)</t>
  </si>
  <si>
    <t xml:space="preserve">Actual ($)</t>
  </si>
  <si>
    <t xml:space="preserve">% of Target</t>
  </si>
  <si>
    <t xml:space="preserve">GEO/SEO Clients</t>
  </si>
  <si>
    <t xml:space="preserve">Life Insurance Commissions</t>
  </si>
  <si>
    <t xml:space="preserve">Loan Referrals</t>
  </si>
  <si>
    <t xml:space="preserve">AI Partnerships</t>
  </si>
  <si>
    <t xml:space="preserve">Other</t>
  </si>
  <si>
    <t xml:space="preserve">TOTAL</t>
  </si>
  <si>
    <t xml:space="preserve">Goal</t>
  </si>
  <si>
    <t xml:space="preserve">Progress</t>
  </si>
  <si>
    <t xml:space="preserve">Target</t>
  </si>
  <si>
    <t xml:space="preserve">Emergency Fund</t>
  </si>
  <si>
    <t xml:space="preserve">First $100K</t>
  </si>
  <si>
    <t xml:space="preserve">Investment Fund</t>
  </si>
  <si>
    <t xml:space="preserve">💼 Business Revenue — Cash in Blue LLC</t>
  </si>
  <si>
    <t xml:space="preserve">Monthly Summary</t>
  </si>
  <si>
    <t xml:space="preserve">Total Revenue ($):</t>
  </si>
  <si>
    <t xml:space="preserve">Total Expenses ($):</t>
  </si>
  <si>
    <t xml:space="preserve">Net Profit ($):</t>
  </si>
  <si>
    <t xml:space="preserve">  Income Streams</t>
  </si>
  <si>
    <t xml:space="preserve">This Month ($)</t>
  </si>
  <si>
    <t xml:space="preserve">YTD ($)</t>
  </si>
  <si>
    <t xml:space="preserve">Target (Mo)</t>
  </si>
  <si>
    <t xml:space="preserve">vs Target</t>
  </si>
  <si>
    <t xml:space="preserve">Notes</t>
  </si>
  <si>
    <t xml:space="preserve">Other / Misc</t>
  </si>
  <si>
    <t xml:space="preserve">  Monthly Revenue Log</t>
  </si>
  <si>
    <t xml:space="preserve">Month</t>
  </si>
  <si>
    <t xml:space="preserve">GEO/SEO</t>
  </si>
  <si>
    <t xml:space="preserve">Insurance</t>
  </si>
  <si>
    <t xml:space="preserve">Loans</t>
  </si>
  <si>
    <t xml:space="preserve">AI Partners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</si>
  <si>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</si>
  <si>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</si>
  <si>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</si>
  <si>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</si>
  <si>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</si>
  <si>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</si>
  <si>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</si>
  <si>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</si>
  <si>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</si>
  <si>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</si>
  <si>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</si>
  <si>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</si>
  <si>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</si>
  <si>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💳 Expense Tracker — Personal &amp; Business</t>
  </si>
  <si>
    <t xml:space="preserve">LLC Deductible Total:</t>
  </si>
  <si>
    <t xml:space="preserve">  Expense Log</t>
  </si>
  <si>
    <t xml:space="preserve">Date</t>
  </si>
  <si>
    <t xml:space="preserve">Category</t>
  </si>
  <si>
    <t xml:space="preserve">Description</t>
  </si>
  <si>
    <t xml:space="preserve">Type</t>
  </si>
  <si>
    <t xml:space="preserve">Amount ($)</t>
  </si>
  <si>
    <t xml:space="preserve">LLC Deductible?</t>
  </si>
  <si>
    <t xml:space="preserve">2026-03-01</t>
  </si>
  <si>
    <t xml:space="preserve">Housing</t>
  </si>
  <si>
    <t xml:space="preserve">Rent</t>
  </si>
  <si>
    <t xml:space="preserve">Personal</t>
  </si>
  <si>
    <t xml:space="preserve">No</t>
  </si>
  <si>
    <t xml:space="preserve">Utilities</t>
  </si>
  <si>
    <t xml:space="preserve">Electric / Internet</t>
  </si>
  <si>
    <t xml:space="preserve">2026-03-05</t>
  </si>
  <si>
    <t xml:space="preserve">Food</t>
  </si>
  <si>
    <t xml:space="preserve">Groceries</t>
  </si>
  <si>
    <t xml:space="preserve">2026-03-10</t>
  </si>
  <si>
    <t xml:space="preserve">Transport</t>
  </si>
  <si>
    <t xml:space="preserve">Car insurance</t>
  </si>
  <si>
    <t xml:space="preserve">2026-03-12</t>
  </si>
  <si>
    <t xml:space="preserve">Health</t>
  </si>
  <si>
    <t xml:space="preserve">Gym membership</t>
  </si>
  <si>
    <t xml:space="preserve">2026-03-15</t>
  </si>
  <si>
    <t xml:space="preserve">Subscriptions</t>
  </si>
  <si>
    <t xml:space="preserve">Netflix / Spotify</t>
  </si>
  <si>
    <t xml:space="preserve">Marketing</t>
  </si>
  <si>
    <t xml:space="preserve">Google Ads — GEO</t>
  </si>
  <si>
    <t xml:space="preserve">Business</t>
  </si>
  <si>
    <t xml:space="preserve">Yes</t>
  </si>
  <si>
    <t xml:space="preserve">Advertising</t>
  </si>
  <si>
    <t xml:space="preserve">2026-03-16</t>
  </si>
  <si>
    <t xml:space="preserve">Software</t>
  </si>
  <si>
    <t xml:space="preserve">CRM subscription</t>
  </si>
  <si>
    <t xml:space="preserve">Tools</t>
  </si>
  <si>
    <t xml:space="preserve">2026-03-18</t>
  </si>
  <si>
    <t xml:space="preserve">Education</t>
  </si>
  <si>
    <t xml:space="preserve">Online course</t>
  </si>
  <si>
    <t xml:space="preserve">Professional dev</t>
  </si>
  <si>
    <t xml:space="preserve">2026-03-20</t>
  </si>
  <si>
    <t xml:space="preserve">Phone</t>
  </si>
  <si>
    <t xml:space="preserve">Business phone plan</t>
  </si>
  <si>
    <t xml:space="preserve">2026-03-22</t>
  </si>
  <si>
    <t xml:space="preserve">Meals</t>
  </si>
  <si>
    <t xml:space="preserve">Client lunch</t>
  </si>
  <si>
    <t xml:space="preserve">50% deductible</t>
  </si>
  <si>
    <t xml:space="preserve">2026-03-25</t>
  </si>
  <si>
    <t xml:space="preserve">Office</t>
  </si>
  <si>
    <t xml:space="preserve">Supplies</t>
  </si>
  <si>
    <t xml:space="preserve">📅 Monthly Budget — Actual vs. Target</t>
  </si>
  <si>
    <t xml:space="preserve">Budget ($)</t>
  </si>
  <si>
    <t xml:space="preserve">Variance ($)</t>
  </si>
  <si>
    <t xml:space="preserve">Variance %</t>
  </si>
  <si>
    <t xml:space="preserve">Status</t>
  </si>
  <si>
    <t xml:space="preserve">Food / Groceries</t>
  </si>
  <si>
    <t xml:space="preserve">Marketing (Biz)</t>
  </si>
  <si>
    <t xml:space="preserve">Software (Biz)</t>
  </si>
  <si>
    <t xml:space="preserve">Meals / Ent.</t>
  </si>
  <si>
    <t xml:space="preserve">Office Supplies</t>
  </si>
  <si>
    <t xml:space="preserve">Miscellaneous</t>
  </si>
  <si>
    <t xml:space="preserve">0</t>
  </si>
  <si>
    <t xml:space="preserve">💰 Savings Goals — Progress Tracker</t>
  </si>
  <si>
    <t xml:space="preserve">Goal Name</t>
  </si>
  <si>
    <t xml:space="preserve">Saved ($)</t>
  </si>
  <si>
    <t xml:space="preserve">Remaining ($)</t>
  </si>
  <si>
    <t xml:space="preserve">% Complete</t>
  </si>
  <si>
    <t xml:space="preserve">Monthly Add</t>
  </si>
  <si>
    <t xml:space="preserve">ETA (months)</t>
  </si>
  <si>
    <t xml:space="preserve">Emergency Fund (3 mo.)</t>
  </si>
  <si>
    <t xml:space="preserve">First $100K Milestone</t>
  </si>
  <si>
    <t xml:space="preserve">Investment / Brokerage</t>
  </si>
  <si>
    <t xml:space="preserve">Vehicle Down Payment</t>
  </si>
  <si>
    <t xml:space="preserve">Vacation / Travel Fund</t>
  </si>
  <si>
    <t xml:space="preserve">🏦 Debt Tracker — Payoff Planner</t>
  </si>
  <si>
    <t xml:space="preserve">Total Debt ($):</t>
  </si>
  <si>
    <t xml:space="preserve">Total Monthly Payments:</t>
  </si>
  <si>
    <t xml:space="preserve">Creditor</t>
  </si>
  <si>
    <t xml:space="preserve">Balance ($)</t>
  </si>
  <si>
    <t xml:space="preserve">APR (%)</t>
  </si>
  <si>
    <t xml:space="preserve">Min Payment ($)</t>
  </si>
  <si>
    <t xml:space="preserve">Extra ($)</t>
  </si>
  <si>
    <t xml:space="preserve">Total Payment</t>
  </si>
  <si>
    <t xml:space="preserve">Payoff Date</t>
  </si>
  <si>
    <t xml:space="preserve">Chase Sapphire</t>
  </si>
  <si>
    <t xml:space="preserve">Credit Card</t>
  </si>
  <si>
    <t xml:space="preserve">Capital One</t>
  </si>
  <si>
    <t xml:space="preserve">Student Loan</t>
  </si>
  <si>
    <t xml:space="preserve">Federal Loan</t>
  </si>
  <si>
    <t xml:space="preserve">Car Note</t>
  </si>
  <si>
    <t xml:space="preserve">Auto Loan</t>
  </si>
  <si>
    <t xml:space="preserve">Personal Loan</t>
  </si>
  <si>
    <t xml:space="preserve">Installment</t>
  </si>
  <si>
    <t xml:space="preserve">📈 Net Worth Tracker — Assets vs. Liabilities</t>
  </si>
  <si>
    <t xml:space="preserve">  ASSETS</t>
  </si>
  <si>
    <t xml:space="preserve">Asset</t>
  </si>
  <si>
    <t xml:space="preserve">Value ($)</t>
  </si>
  <si>
    <t xml:space="preserve">Checking Account</t>
  </si>
  <si>
    <t xml:space="preserve">Cash</t>
  </si>
  <si>
    <t xml:space="preserve">Savings Account</t>
  </si>
  <si>
    <t xml:space="preserve">Business Checking</t>
  </si>
  <si>
    <t xml:space="preserve">Brokerage / Investments</t>
  </si>
  <si>
    <t xml:space="preserve">Investments</t>
  </si>
  <si>
    <t xml:space="preserve">401k / Retirement</t>
  </si>
  <si>
    <t xml:space="preserve">Retirement</t>
  </si>
  <si>
    <t xml:space="preserve">Vehicle (est. value)</t>
  </si>
  <si>
    <t xml:space="preserve">Property</t>
  </si>
  <si>
    <t xml:space="preserve">Other Assets</t>
  </si>
  <si>
    <t xml:space="preserve">TOTAL ASSETS</t>
  </si>
  <si>
    <t xml:space="preserve">  LIABILITIES</t>
  </si>
  <si>
    <t xml:space="preserve">Liability</t>
  </si>
  <si>
    <t xml:space="preserve">Credit Card (Chase)</t>
  </si>
  <si>
    <t xml:space="preserve">Credit Card (CapOne)</t>
  </si>
  <si>
    <t xml:space="preserve">TOTAL LIABILITIES</t>
  </si>
  <si>
    <t xml:space="preserve">NET WORTH</t>
  </si>
  <si>
    <t xml:space="preserve">  Monthly Snapshot Log</t>
  </si>
  <si>
    <t xml:space="preserve">Total Assets ($)</t>
  </si>
  <si>
    <t xml:space="preserve">Total Liabilities ($)</t>
  </si>
  <si>
    <t xml:space="preserve">Net Worth ($)</t>
  </si>
  <si>
    <t xml:space="preserve">Change ($)</t>
  </si>
  <si>
    <t xml:space="preserve">Jan 2026</t>
  </si>
  <si>
    <t xml:space="preserve">-</t>
  </si>
  <si>
    <t xml:space="preserve">Feb 2026</t>
  </si>
  <si>
    <t xml:space="preserve">Mar 2026</t>
  </si>
  <si>
    <t xml:space="preserve">🧾 Tax Estimate — Self-Employment &amp; Quarterly Payments</t>
  </si>
  <si>
    <t xml:space="preserve">  Assumptions (Blue = Edit Me)</t>
  </si>
  <si>
    <t xml:space="preserve">Annual Gross Revenue ($)</t>
  </si>
  <si>
    <t xml:space="preserve">LLC Deductible Expenses ($)</t>
  </si>
  <si>
    <t xml:space="preserve">Other Deductions (Standard / QBI) ($)</t>
  </si>
  <si>
    <t xml:space="preserve">SE Tax Rate</t>
  </si>
  <si>
    <t xml:space="preserve">Federal Income Tax Rate (est.)</t>
  </si>
  <si>
    <t xml:space="preserve">State Income Tax Rate</t>
  </si>
  <si>
    <t xml:space="preserve">  Calculated Tax Figures</t>
  </si>
  <si>
    <t xml:space="preserve">Net Self-Employment Income</t>
  </si>
  <si>
    <t xml:space="preserve">SE Tax (×15.3%)</t>
  </si>
  <si>
    <t xml:space="preserve">SE Tax Deduction (½ SE tax)</t>
  </si>
  <si>
    <t xml:space="preserve">QBI Deduction (20% of net)</t>
  </si>
  <si>
    <t xml:space="preserve">Adjusted Gross Income</t>
  </si>
  <si>
    <t xml:space="preserve">Estimated Federal Income Tax</t>
  </si>
  <si>
    <t xml:space="preserve">State Income Tax</t>
  </si>
  <si>
    <t xml:space="preserve">TOTAL TAX DUE (Annual)</t>
  </si>
  <si>
    <t xml:space="preserve">Effective Rate</t>
  </si>
  <si>
    <t xml:space="preserve">  Quarterly Estimated Payments</t>
  </si>
  <si>
    <t xml:space="preserve">Quarter</t>
  </si>
  <si>
    <t xml:space="preserve">Due Date</t>
  </si>
  <si>
    <t xml:space="preserve">Payment ($)</t>
  </si>
  <si>
    <t xml:space="preserve">Paid ($)</t>
  </si>
  <si>
    <t xml:space="preserve">Q1 2026</t>
  </si>
  <si>
    <t xml:space="preserve">Apr 15, 2026</t>
  </si>
  <si>
    <t xml:space="preserve">Q2 2026</t>
  </si>
  <si>
    <t xml:space="preserve">Jun 16, 2026</t>
  </si>
  <si>
    <t xml:space="preserve">Q3 2026</t>
  </si>
  <si>
    <t xml:space="preserve">Sep 15, 2026</t>
  </si>
  <si>
    <t xml:space="preserve">Q4 2026</t>
  </si>
  <si>
    <t xml:space="preserve">Jan 15, 2027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</si>
</sst>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@"/>
    <numFmt numFmtId="168" formatCode="\$#,##0;&quot;($&quot;#,##0\);\-"/>
    <numFmt numFmtId="169" formatCode="0.00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B0C4D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0E7C86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546E7A"/>
      <name val="Arial"/>
      <family val="0"/>
      <charset val="1"/>
    </font>
    <font>
      <i val="true"/>
      <sz val="9"/>
      <color rgb="FF0D47A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0E7C86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B0C4D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b val="true"/>
      <sz val="13"/>
      <color rgb="FFC62828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6"/>
      <color rgb="FFD4AF3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0E7C86"/>
        <bgColor rgb="FF008080"/>
      </patternFill>
    </fill>
    <fill>
      <patternFill patternType="solid">
        <fgColor rgb="FFF4F6F9"/>
        <bgColor rgb="FFE8F5E9"/>
      </patternFill>
    </fill>
    <fill>
      <patternFill patternType="solid">
        <fgColor rgb="FFFFFFFF"/>
        <bgColor rgb="FFF4F6F9"/>
      </patternFill>
    </fill>
    <fill>
      <patternFill patternType="solid">
        <fgColor rgb="FFD0D7E2"/>
        <bgColor rgb="FFD0D7E3"/>
      </patternFill>
    </fill>
    <fill>
      <patternFill patternType="solid">
        <fgColor rgb="FFD6F0F2"/>
        <bgColor rgb="FFE8F5E9"/>
      </patternFill>
    </fill>
    <fill>
      <patternFill patternType="solid">
        <fgColor rgb="FF1565C0"/>
        <bgColor rgb="FF0D47A1"/>
      </patternFill>
    </fill>
    <fill>
      <patternFill patternType="solid">
        <fgColor rgb="FF546E7A"/>
        <bgColor rgb="FF808080"/>
      </patternFill>
    </fill>
    <fill>
      <patternFill patternType="solid">
        <fgColor rgb="FF2E7D32"/>
        <bgColor rgb="FF008000"/>
      </patternFill>
    </fill>
    <fill>
      <patternFill patternType="solid">
        <fgColor rgb="FFC62828"/>
        <bgColor rgb="FF993366"/>
      </patternFill>
    </fill>
    <fill>
      <patternFill patternType="solid">
        <fgColor rgb="FF6A1B9A"/>
        <bgColor rgb="FF800080"/>
      </patternFill>
    </fill>
    <fill>
      <patternFill patternType="solid">
        <fgColor rgb="FFE65100"/>
        <bgColor rgb="FFC62828"/>
      </patternFill>
    </fill>
    <fill>
      <patternFill patternType="solid">
        <fgColor rgb="FFE8F5E9"/>
        <bgColor rgb="FFF4F6F9"/>
      </patternFill>
    </fill>
    <fill>
      <patternFill patternType="solid">
        <fgColor rgb="FFFFEBEE"/>
        <bgColor rgb="FFF4F6F9"/>
      </patternFill>
    </fill>
    <fill>
      <patternFill patternType="solid">
        <fgColor rgb="FFFFF8DC"/>
        <bgColor rgb="FFF4F6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 diagonalUp="false" diagonalDown="false">
      <left style="medium">
        <color rgb="FF1B2A4A"/>
      </left>
      <right/>
      <top style="medium">
        <color rgb="FF1B2A4A"/>
      </top>
      <bottom style="medium">
        <color rgb="FF1B2A4A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E7C86"/>
      <rgbColor rgb="FFB0C4DE"/>
      <rgbColor rgb="FF808080"/>
      <rgbColor rgb="FF9999FF"/>
      <rgbColor rgb="FF993366"/>
      <rgbColor rgb="FFFFF8DC"/>
      <rgbColor rgb="FFD6F0F2"/>
      <rgbColor rgb="FF660066"/>
      <rgbColor rgb="FFFF8080"/>
      <rgbColor rgb="FF1565C0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4F6F9"/>
      <rgbColor rgb="FFFFEBEE"/>
      <rgbColor rgb="FFD0D7E2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E65100"/>
      <rgbColor rgb="FF546E7A"/>
      <rgbColor rgb="FF969696"/>
      <rgbColor rgb="FF1B2A4A"/>
      <rgbColor rgb="FF2E7D32"/>
      <rgbColor rgb="FF003300"/>
      <rgbColor rgb="FF222222"/>
      <rgbColor rgb="FFC62828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1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20"/>
    <col collapsed="false" customWidth="true" hidden="false" outlineLevel="0" max="5" min="5" style="0" width="2"/>
  </cols>
  <sheetData>
    <row r="1" customFormat="false" ht="6" hidden="false" customHeight="true" outlineLevel="0" collapsed="false">
      <c r="A1" s="1"/>
      <c r="B1" s="1"/>
      <c r="C1" s="1"/>
      <c r="D1" s="1"/>
      <c r="E1" s="1"/>
    </row>
    <row r="2" customFormat="false" ht="37.5" hidden="false" customHeight="true" outlineLevel="0" collapsed="false">
      <c r="A2" s="2" t="s">
        <v>0</v>
      </c>
      <c r="B2" s="2"/>
      <c r="C2" s="2"/>
      <c r="D2" s="2"/>
      <c r="E2" s="2"/>
    </row>
    <row r="3" customFormat="false" ht="37.5" hidden="false" customHeight="true" outlineLevel="0" collapsed="false">
      <c r="A3" s="3" t="s">
        <v>1</v>
      </c>
      <c r="B3" s="3"/>
      <c r="C3" s="3"/>
      <c r="D3" s="3"/>
      <c r="E3" s="3"/>
    </row>
    <row r="4" customFormat="false" ht="6" hidden="false" customHeight="true" outlineLevel="0" collapsed="false">
      <c r="A4" s="1"/>
      <c r="B4" s="1"/>
      <c r="C4" s="1"/>
      <c r="D4" s="1"/>
      <c r="E4" s="1"/>
    </row>
    <row r="5" customFormat="false" ht="25.5" hidden="false" customHeight="true" outlineLevel="0" collapsed="false">
      <c r="A5" s="4"/>
      <c r="B5" s="5" t="s">
        <v>2</v>
      </c>
      <c r="C5" s="5"/>
      <c r="D5" s="5"/>
      <c r="E5" s="4"/>
    </row>
    <row r="6" customFormat="false" ht="27.75" hidden="false" customHeight="true" outlineLevel="0" collapsed="false">
      <c r="A6" s="6"/>
      <c r="B6" s="7" t="s">
        <v>3</v>
      </c>
      <c r="C6" s="7"/>
      <c r="D6" s="7"/>
      <c r="E6" s="6"/>
    </row>
    <row r="7" customFormat="false" ht="27.75" hidden="false" customHeight="true" outlineLevel="0" collapsed="false">
      <c r="A7" s="6"/>
      <c r="B7" s="7" t="s">
        <v>4</v>
      </c>
      <c r="C7" s="7"/>
      <c r="D7" s="7"/>
      <c r="E7" s="6"/>
    </row>
    <row r="8" customFormat="false" ht="27.75" hidden="false" customHeight="true" outlineLevel="0" collapsed="false">
      <c r="A8" s="6"/>
      <c r="B8" s="7" t="s">
        <v>5</v>
      </c>
      <c r="C8" s="7"/>
      <c r="D8" s="7"/>
      <c r="E8" s="6"/>
    </row>
    <row r="9" customFormat="false" ht="9.75" hidden="false" customHeight="true" outlineLevel="0" collapsed="false">
      <c r="A9" s="8"/>
      <c r="B9" s="8"/>
      <c r="C9" s="8"/>
      <c r="D9" s="8"/>
      <c r="E9" s="8"/>
    </row>
    <row r="10" customFormat="false" ht="21.75" hidden="false" customHeight="true" outlineLevel="0" collapsed="false">
      <c r="A10" s="9"/>
      <c r="B10" s="10" t="s">
        <v>6</v>
      </c>
      <c r="C10" s="11" t="s">
        <v>7</v>
      </c>
      <c r="D10" s="10" t="s">
        <v>8</v>
      </c>
      <c r="E10" s="9"/>
    </row>
    <row r="11" customFormat="false" ht="27.75" hidden="false" customHeight="true" outlineLevel="0" collapsed="false">
      <c r="A11" s="8"/>
      <c r="B11" s="12" t="s">
        <v>9</v>
      </c>
      <c r="C11" s="13" t="s">
        <v>10</v>
      </c>
      <c r="D11" s="14" t="s">
        <v>11</v>
      </c>
      <c r="E11" s="8"/>
    </row>
    <row r="12" customFormat="false" ht="27.75" hidden="false" customHeight="true" outlineLevel="0" collapsed="false">
      <c r="A12" s="6"/>
      <c r="B12" s="15" t="s">
        <v>12</v>
      </c>
      <c r="C12" s="16" t="s">
        <v>13</v>
      </c>
      <c r="D12" s="17" t="s">
        <v>14</v>
      </c>
      <c r="E12" s="6"/>
    </row>
    <row r="13" customFormat="false" ht="27.75" hidden="false" customHeight="true" outlineLevel="0" collapsed="false">
      <c r="A13" s="8"/>
      <c r="B13" s="12" t="s">
        <v>15</v>
      </c>
      <c r="C13" s="13" t="s">
        <v>16</v>
      </c>
      <c r="D13" s="18" t="s">
        <v>17</v>
      </c>
      <c r="E13" s="8"/>
    </row>
    <row r="14" customFormat="false" ht="27.75" hidden="false" customHeight="true" outlineLevel="0" collapsed="false">
      <c r="A14" s="6"/>
      <c r="B14" s="15" t="s">
        <v>18</v>
      </c>
      <c r="C14" s="16" t="s">
        <v>19</v>
      </c>
      <c r="D14" s="19" t="s">
        <v>20</v>
      </c>
      <c r="E14" s="6"/>
    </row>
    <row r="15" customFormat="false" ht="27.75" hidden="false" customHeight="true" outlineLevel="0" collapsed="false">
      <c r="A15" s="8"/>
      <c r="B15" s="12" t="s">
        <v>21</v>
      </c>
      <c r="C15" s="13" t="s">
        <v>22</v>
      </c>
      <c r="D15" s="18" t="s">
        <v>23</v>
      </c>
      <c r="E15" s="8"/>
    </row>
    <row r="16" customFormat="false" ht="27.75" hidden="false" customHeight="true" outlineLevel="0" collapsed="false">
      <c r="A16" s="6"/>
      <c r="B16" s="15" t="s">
        <v>24</v>
      </c>
      <c r="C16" s="16" t="s">
        <v>25</v>
      </c>
      <c r="D16" s="17" t="s">
        <v>26</v>
      </c>
      <c r="E16" s="6"/>
    </row>
    <row r="17" customFormat="false" ht="27.75" hidden="false" customHeight="true" outlineLevel="0" collapsed="false">
      <c r="A17" s="8"/>
      <c r="B17" s="12" t="s">
        <v>27</v>
      </c>
      <c r="C17" s="13" t="s">
        <v>28</v>
      </c>
      <c r="D17" s="18" t="s">
        <v>29</v>
      </c>
      <c r="E17" s="8"/>
    </row>
    <row r="18" customFormat="false" ht="27.75" hidden="false" customHeight="true" outlineLevel="0" collapsed="false">
      <c r="A18" s="6"/>
      <c r="B18" s="15" t="s">
        <v>30</v>
      </c>
      <c r="C18" s="16" t="s">
        <v>31</v>
      </c>
      <c r="D18" s="17" t="s">
        <v>32</v>
      </c>
      <c r="E18" s="6"/>
    </row>
    <row r="19" customFormat="false" ht="12" hidden="false" customHeight="true" outlineLevel="0" collapsed="false">
      <c r="A19" s="8"/>
      <c r="B19" s="8"/>
      <c r="C19" s="8"/>
      <c r="D19" s="8"/>
      <c r="E19" s="8"/>
    </row>
    <row r="20" customFormat="false" ht="25.5" hidden="false" customHeight="true" outlineLevel="0" collapsed="false">
      <c r="A20" s="1"/>
      <c r="B20" s="20" t="s">
        <v>33</v>
      </c>
      <c r="C20" s="20"/>
      <c r="D20" s="20"/>
      <c r="E20" s="1"/>
    </row>
    <row r="21" customFormat="false" ht="21.75" hidden="false" customHeight="true" outlineLevel="0" collapsed="false">
      <c r="A21" s="21"/>
      <c r="B21" s="22" t="s">
        <v>34</v>
      </c>
      <c r="C21" s="22"/>
      <c r="D21" s="22"/>
      <c r="E21" s="21"/>
    </row>
    <row r="22" customFormat="false" ht="19.5" hidden="false" customHeight="true" outlineLevel="0" collapsed="false">
      <c r="A22" s="6"/>
      <c r="B22" s="23" t="s">
        <v>35</v>
      </c>
      <c r="C22" s="6"/>
      <c r="D22" s="6"/>
      <c r="E22" s="6"/>
    </row>
    <row r="23" customFormat="false" ht="90" hidden="false" customHeight="true" outlineLevel="0" collapsed="false">
      <c r="A23" s="8"/>
      <c r="B23" s="24" t="s">
        <v>36</v>
      </c>
      <c r="C23" s="24"/>
      <c r="D23" s="24"/>
      <c r="E23" s="8"/>
    </row>
    <row r="24" customFormat="false" ht="19.5" hidden="false" customHeight="true" outlineLevel="0" collapsed="false">
      <c r="A24" s="6"/>
      <c r="B24" s="23" t="s">
        <v>37</v>
      </c>
      <c r="C24" s="6"/>
      <c r="D24" s="6"/>
      <c r="E24" s="6"/>
    </row>
    <row r="25" customFormat="false" ht="27.75" hidden="false" customHeight="true" outlineLevel="0" collapsed="false">
      <c r="A25" s="8"/>
      <c r="B25" s="24" t="s">
        <v>38</v>
      </c>
      <c r="C25" s="24"/>
      <c r="D25" s="24"/>
      <c r="E25" s="8"/>
    </row>
    <row r="26" customFormat="false" ht="19.5" hidden="false" customHeight="true" outlineLevel="0" collapsed="false">
      <c r="A26" s="6"/>
      <c r="B26" s="23" t="s">
        <v>39</v>
      </c>
      <c r="C26" s="6"/>
      <c r="D26" s="6"/>
      <c r="E26" s="6"/>
    </row>
    <row r="27" customFormat="false" ht="27.75" hidden="false" customHeight="true" outlineLevel="0" collapsed="false">
      <c r="A27" s="8"/>
      <c r="B27" s="24" t="s">
        <v>40</v>
      </c>
      <c r="C27" s="24"/>
      <c r="D27" s="24"/>
      <c r="E27" s="8"/>
    </row>
    <row r="28" customFormat="false" ht="9.75" hidden="false" customHeight="true" outlineLevel="0" collapsed="false">
      <c r="A28" s="8"/>
      <c r="B28" s="8"/>
      <c r="C28" s="8"/>
      <c r="D28" s="8"/>
      <c r="E28" s="8"/>
    </row>
    <row r="29" customFormat="false" ht="25.5" hidden="false" customHeight="true" outlineLevel="0" collapsed="false">
      <c r="A29" s="25"/>
      <c r="B29" s="26" t="s">
        <v>41</v>
      </c>
      <c r="C29" s="26"/>
      <c r="D29" s="26"/>
      <c r="E29" s="25"/>
    </row>
    <row r="30" customFormat="false" ht="21.75" hidden="false" customHeight="true" outlineLevel="0" collapsed="false">
      <c r="A30" s="21"/>
      <c r="B30" s="22" t="s">
        <v>42</v>
      </c>
      <c r="C30" s="22"/>
      <c r="D30" s="22"/>
      <c r="E30" s="21"/>
    </row>
    <row r="31" customFormat="false" ht="19.5" hidden="false" customHeight="true" outlineLevel="0" collapsed="false">
      <c r="A31" s="6"/>
      <c r="B31" s="23" t="s">
        <v>43</v>
      </c>
      <c r="C31" s="6"/>
      <c r="D31" s="6"/>
      <c r="E31" s="6"/>
    </row>
    <row r="32" customFormat="false" ht="90" hidden="false" customHeight="true" outlineLevel="0" collapsed="false">
      <c r="A32" s="8"/>
      <c r="B32" s="24" t="s">
        <v>44</v>
      </c>
      <c r="C32" s="24"/>
      <c r="D32" s="24"/>
      <c r="E32" s="8"/>
    </row>
    <row r="33" customFormat="false" ht="19.5" hidden="false" customHeight="true" outlineLevel="0" collapsed="false">
      <c r="A33" s="6"/>
      <c r="B33" s="23" t="s">
        <v>45</v>
      </c>
      <c r="C33" s="6"/>
      <c r="D33" s="6"/>
      <c r="E33" s="6"/>
    </row>
    <row r="34" customFormat="false" ht="27.75" hidden="false" customHeight="true" outlineLevel="0" collapsed="false">
      <c r="A34" s="8"/>
      <c r="B34" s="24" t="s">
        <v>46</v>
      </c>
      <c r="C34" s="24"/>
      <c r="D34" s="24"/>
      <c r="E34" s="8"/>
    </row>
    <row r="35" customFormat="false" ht="19.5" hidden="false" customHeight="true" outlineLevel="0" collapsed="false">
      <c r="A35" s="6"/>
      <c r="B35" s="23" t="s">
        <v>47</v>
      </c>
      <c r="C35" s="6"/>
      <c r="D35" s="6"/>
      <c r="E35" s="6"/>
    </row>
    <row r="36" customFormat="false" ht="27.75" hidden="false" customHeight="true" outlineLevel="0" collapsed="false">
      <c r="A36" s="8"/>
      <c r="B36" s="24" t="s">
        <v>48</v>
      </c>
      <c r="C36" s="24"/>
      <c r="D36" s="24"/>
      <c r="E36" s="8"/>
    </row>
    <row r="37" customFormat="false" ht="19.5" hidden="false" customHeight="true" outlineLevel="0" collapsed="false">
      <c r="A37" s="6"/>
      <c r="B37" s="23" t="s">
        <v>49</v>
      </c>
      <c r="C37" s="6"/>
      <c r="D37" s="6"/>
      <c r="E37" s="6"/>
    </row>
    <row r="38" customFormat="false" ht="27.75" hidden="false" customHeight="true" outlineLevel="0" collapsed="false">
      <c r="A38" s="8"/>
      <c r="B38" s="24" t="s">
        <v>50</v>
      </c>
      <c r="C38" s="24"/>
      <c r="D38" s="24"/>
      <c r="E38" s="8"/>
    </row>
    <row r="39" customFormat="false" ht="9.75" hidden="false" customHeight="true" outlineLevel="0" collapsed="false">
      <c r="A39" s="8"/>
      <c r="B39" s="8"/>
      <c r="C39" s="8"/>
      <c r="D39" s="8"/>
      <c r="E39" s="8"/>
    </row>
    <row r="40" customFormat="false" ht="25.5" hidden="false" customHeight="true" outlineLevel="0" collapsed="false">
      <c r="A40" s="27"/>
      <c r="B40" s="28" t="s">
        <v>51</v>
      </c>
      <c r="C40" s="28"/>
      <c r="D40" s="28"/>
      <c r="E40" s="27"/>
    </row>
    <row r="41" customFormat="false" ht="21.75" hidden="false" customHeight="true" outlineLevel="0" collapsed="false">
      <c r="A41" s="21"/>
      <c r="B41" s="22" t="s">
        <v>52</v>
      </c>
      <c r="C41" s="22"/>
      <c r="D41" s="22"/>
      <c r="E41" s="21"/>
    </row>
    <row r="42" customFormat="false" ht="19.5" hidden="false" customHeight="true" outlineLevel="0" collapsed="false">
      <c r="A42" s="6"/>
      <c r="B42" s="23" t="s">
        <v>53</v>
      </c>
      <c r="C42" s="6"/>
      <c r="D42" s="6"/>
      <c r="E42" s="6"/>
    </row>
    <row r="43" customFormat="false" ht="90" hidden="false" customHeight="true" outlineLevel="0" collapsed="false">
      <c r="A43" s="8"/>
      <c r="B43" s="24" t="s">
        <v>54</v>
      </c>
      <c r="C43" s="24"/>
      <c r="D43" s="24"/>
      <c r="E43" s="8"/>
    </row>
    <row r="44" customFormat="false" ht="19.5" hidden="false" customHeight="true" outlineLevel="0" collapsed="false">
      <c r="A44" s="6"/>
      <c r="B44" s="23" t="s">
        <v>55</v>
      </c>
      <c r="C44" s="6"/>
      <c r="D44" s="6"/>
      <c r="E44" s="6"/>
    </row>
    <row r="45" customFormat="false" ht="55.5" hidden="false" customHeight="true" outlineLevel="0" collapsed="false">
      <c r="A45" s="8"/>
      <c r="B45" s="24" t="s">
        <v>56</v>
      </c>
      <c r="C45" s="24"/>
      <c r="D45" s="24"/>
      <c r="E45" s="8"/>
    </row>
    <row r="46" customFormat="false" ht="19.5" hidden="false" customHeight="true" outlineLevel="0" collapsed="false">
      <c r="A46" s="6"/>
      <c r="B46" s="23" t="s">
        <v>57</v>
      </c>
      <c r="C46" s="6"/>
      <c r="D46" s="6"/>
      <c r="E46" s="6"/>
    </row>
    <row r="47" customFormat="false" ht="27.75" hidden="false" customHeight="true" outlineLevel="0" collapsed="false">
      <c r="A47" s="8"/>
      <c r="B47" s="24" t="s">
        <v>58</v>
      </c>
      <c r="C47" s="24"/>
      <c r="D47" s="24"/>
      <c r="E47" s="8"/>
    </row>
    <row r="48" customFormat="false" ht="9.75" hidden="false" customHeight="true" outlineLevel="0" collapsed="false">
      <c r="A48" s="8"/>
      <c r="B48" s="8"/>
      <c r="C48" s="8"/>
      <c r="D48" s="8"/>
      <c r="E48" s="8"/>
    </row>
    <row r="49" customFormat="false" ht="25.5" hidden="false" customHeight="true" outlineLevel="0" collapsed="false">
      <c r="A49" s="29"/>
      <c r="B49" s="30" t="s">
        <v>59</v>
      </c>
      <c r="C49" s="30"/>
      <c r="D49" s="30"/>
      <c r="E49" s="29"/>
    </row>
    <row r="50" customFormat="false" ht="21.75" hidden="false" customHeight="true" outlineLevel="0" collapsed="false">
      <c r="A50" s="21"/>
      <c r="B50" s="22" t="s">
        <v>60</v>
      </c>
      <c r="C50" s="22"/>
      <c r="D50" s="22"/>
      <c r="E50" s="21"/>
    </row>
    <row r="51" customFormat="false" ht="19.5" hidden="false" customHeight="true" outlineLevel="0" collapsed="false">
      <c r="A51" s="6"/>
      <c r="B51" s="23" t="s">
        <v>61</v>
      </c>
      <c r="C51" s="6"/>
      <c r="D51" s="6"/>
      <c r="E51" s="6"/>
    </row>
    <row r="52" customFormat="false" ht="27.75" hidden="false" customHeight="true" outlineLevel="0" collapsed="false">
      <c r="A52" s="8"/>
      <c r="B52" s="24" t="s">
        <v>62</v>
      </c>
      <c r="C52" s="24"/>
      <c r="D52" s="24"/>
      <c r="E52" s="8"/>
    </row>
    <row r="53" customFormat="false" ht="19.5" hidden="false" customHeight="true" outlineLevel="0" collapsed="false">
      <c r="A53" s="6"/>
      <c r="B53" s="23" t="s">
        <v>63</v>
      </c>
      <c r="C53" s="6"/>
      <c r="D53" s="6"/>
      <c r="E53" s="6"/>
    </row>
    <row r="54" customFormat="false" ht="27.75" hidden="false" customHeight="true" outlineLevel="0" collapsed="false">
      <c r="A54" s="8"/>
      <c r="B54" s="24" t="s">
        <v>64</v>
      </c>
      <c r="C54" s="24"/>
      <c r="D54" s="24"/>
      <c r="E54" s="8"/>
    </row>
    <row r="55" customFormat="false" ht="19.5" hidden="false" customHeight="true" outlineLevel="0" collapsed="false">
      <c r="A55" s="6"/>
      <c r="B55" s="23" t="s">
        <v>65</v>
      </c>
      <c r="C55" s="6"/>
      <c r="D55" s="6"/>
      <c r="E55" s="6"/>
    </row>
    <row r="56" customFormat="false" ht="55.5" hidden="false" customHeight="true" outlineLevel="0" collapsed="false">
      <c r="A56" s="8"/>
      <c r="B56" s="24" t="s">
        <v>66</v>
      </c>
      <c r="C56" s="24"/>
      <c r="D56" s="24"/>
      <c r="E56" s="8"/>
    </row>
    <row r="57" customFormat="false" ht="19.5" hidden="false" customHeight="true" outlineLevel="0" collapsed="false">
      <c r="A57" s="6"/>
      <c r="B57" s="23" t="s">
        <v>67</v>
      </c>
      <c r="C57" s="6"/>
      <c r="D57" s="6"/>
      <c r="E57" s="6"/>
    </row>
    <row r="58" customFormat="false" ht="27.75" hidden="false" customHeight="true" outlineLevel="0" collapsed="false">
      <c r="A58" s="8"/>
      <c r="B58" s="24" t="s">
        <v>68</v>
      </c>
      <c r="C58" s="24"/>
      <c r="D58" s="24"/>
      <c r="E58" s="8"/>
    </row>
    <row r="59" customFormat="false" ht="9.75" hidden="false" customHeight="true" outlineLevel="0" collapsed="false">
      <c r="A59" s="8"/>
      <c r="B59" s="8"/>
      <c r="C59" s="8"/>
      <c r="D59" s="8"/>
      <c r="E59" s="8"/>
    </row>
    <row r="60" customFormat="false" ht="25.5" hidden="false" customHeight="true" outlineLevel="0" collapsed="false">
      <c r="A60" s="29"/>
      <c r="B60" s="30" t="s">
        <v>69</v>
      </c>
      <c r="C60" s="30"/>
      <c r="D60" s="30"/>
      <c r="E60" s="29"/>
    </row>
    <row r="61" customFormat="false" ht="21.75" hidden="false" customHeight="true" outlineLevel="0" collapsed="false">
      <c r="A61" s="21"/>
      <c r="B61" s="22" t="s">
        <v>70</v>
      </c>
      <c r="C61" s="22"/>
      <c r="D61" s="22"/>
      <c r="E61" s="21"/>
    </row>
    <row r="62" customFormat="false" ht="19.5" hidden="false" customHeight="true" outlineLevel="0" collapsed="false">
      <c r="A62" s="6"/>
      <c r="B62" s="23" t="s">
        <v>71</v>
      </c>
      <c r="C62" s="6"/>
      <c r="D62" s="6"/>
      <c r="E62" s="6"/>
    </row>
    <row r="63" customFormat="false" ht="27.75" hidden="false" customHeight="true" outlineLevel="0" collapsed="false">
      <c r="A63" s="8"/>
      <c r="B63" s="24" t="s">
        <v>72</v>
      </c>
      <c r="C63" s="24"/>
      <c r="D63" s="24"/>
      <c r="E63" s="8"/>
    </row>
    <row r="64" customFormat="false" ht="19.5" hidden="false" customHeight="true" outlineLevel="0" collapsed="false">
      <c r="A64" s="6"/>
      <c r="B64" s="23" t="s">
        <v>73</v>
      </c>
      <c r="C64" s="6"/>
      <c r="D64" s="6"/>
      <c r="E64" s="6"/>
    </row>
    <row r="65" customFormat="false" ht="69.75" hidden="false" customHeight="true" outlineLevel="0" collapsed="false">
      <c r="A65" s="8"/>
      <c r="B65" s="24" t="s">
        <v>74</v>
      </c>
      <c r="C65" s="24"/>
      <c r="D65" s="24"/>
      <c r="E65" s="8"/>
    </row>
    <row r="66" customFormat="false" ht="19.5" hidden="false" customHeight="true" outlineLevel="0" collapsed="false">
      <c r="A66" s="6"/>
      <c r="B66" s="23" t="s">
        <v>75</v>
      </c>
      <c r="C66" s="6"/>
      <c r="D66" s="6"/>
      <c r="E66" s="6"/>
    </row>
    <row r="67" customFormat="false" ht="27.75" hidden="false" customHeight="true" outlineLevel="0" collapsed="false">
      <c r="A67" s="8"/>
      <c r="B67" s="24" t="s">
        <v>76</v>
      </c>
      <c r="C67" s="24"/>
      <c r="D67" s="24"/>
      <c r="E67" s="8"/>
    </row>
    <row r="68" customFormat="false" ht="9.75" hidden="false" customHeight="true" outlineLevel="0" collapsed="false">
      <c r="A68" s="8"/>
      <c r="B68" s="8"/>
      <c r="C68" s="8"/>
      <c r="D68" s="8"/>
      <c r="E68" s="8"/>
    </row>
    <row r="69" customFormat="false" ht="25.5" hidden="false" customHeight="true" outlineLevel="0" collapsed="false">
      <c r="A69" s="31"/>
      <c r="B69" s="32" t="s">
        <v>77</v>
      </c>
      <c r="C69" s="32"/>
      <c r="D69" s="32"/>
      <c r="E69" s="31"/>
    </row>
    <row r="70" customFormat="false" ht="21.75" hidden="false" customHeight="true" outlineLevel="0" collapsed="false">
      <c r="A70" s="21"/>
      <c r="B70" s="22" t="s">
        <v>78</v>
      </c>
      <c r="C70" s="22"/>
      <c r="D70" s="22"/>
      <c r="E70" s="21"/>
    </row>
    <row r="71" customFormat="false" ht="19.5" hidden="false" customHeight="true" outlineLevel="0" collapsed="false">
      <c r="A71" s="6"/>
      <c r="B71" s="23" t="s">
        <v>79</v>
      </c>
      <c r="C71" s="6"/>
      <c r="D71" s="6"/>
      <c r="E71" s="6"/>
    </row>
    <row r="72" customFormat="false" ht="27.75" hidden="false" customHeight="true" outlineLevel="0" collapsed="false">
      <c r="A72" s="8"/>
      <c r="B72" s="24" t="s">
        <v>80</v>
      </c>
      <c r="C72" s="24"/>
      <c r="D72" s="24"/>
      <c r="E72" s="8"/>
    </row>
    <row r="73" customFormat="false" ht="19.5" hidden="false" customHeight="true" outlineLevel="0" collapsed="false">
      <c r="A73" s="6"/>
      <c r="B73" s="23" t="s">
        <v>43</v>
      </c>
      <c r="C73" s="6"/>
      <c r="D73" s="6"/>
      <c r="E73" s="6"/>
    </row>
    <row r="74" customFormat="false" ht="69.75" hidden="false" customHeight="true" outlineLevel="0" collapsed="false">
      <c r="A74" s="8"/>
      <c r="B74" s="24" t="s">
        <v>81</v>
      </c>
      <c r="C74" s="24"/>
      <c r="D74" s="24"/>
      <c r="E74" s="8"/>
    </row>
    <row r="75" customFormat="false" ht="19.5" hidden="false" customHeight="true" outlineLevel="0" collapsed="false">
      <c r="A75" s="6"/>
      <c r="B75" s="23" t="s">
        <v>82</v>
      </c>
      <c r="C75" s="6"/>
      <c r="D75" s="6"/>
      <c r="E75" s="6"/>
    </row>
    <row r="76" customFormat="false" ht="27.75" hidden="false" customHeight="true" outlineLevel="0" collapsed="false">
      <c r="A76" s="8"/>
      <c r="B76" s="24" t="s">
        <v>83</v>
      </c>
      <c r="C76" s="24"/>
      <c r="D76" s="24"/>
      <c r="E76" s="8"/>
    </row>
    <row r="77" customFormat="false" ht="19.5" hidden="false" customHeight="true" outlineLevel="0" collapsed="false">
      <c r="A77" s="6"/>
      <c r="B77" s="23" t="s">
        <v>84</v>
      </c>
      <c r="C77" s="6"/>
      <c r="D77" s="6"/>
      <c r="E77" s="6"/>
    </row>
    <row r="78" customFormat="false" ht="27.75" hidden="false" customHeight="true" outlineLevel="0" collapsed="false">
      <c r="A78" s="8"/>
      <c r="B78" s="24" t="s">
        <v>85</v>
      </c>
      <c r="C78" s="24"/>
      <c r="D78" s="24"/>
      <c r="E78" s="8"/>
    </row>
    <row r="79" customFormat="false" ht="9.75" hidden="false" customHeight="true" outlineLevel="0" collapsed="false">
      <c r="A79" s="8"/>
      <c r="B79" s="8"/>
      <c r="C79" s="8"/>
      <c r="D79" s="8"/>
      <c r="E79" s="8"/>
    </row>
    <row r="80" customFormat="false" ht="25.5" hidden="false" customHeight="true" outlineLevel="0" collapsed="false">
      <c r="A80" s="33"/>
      <c r="B80" s="34" t="s">
        <v>86</v>
      </c>
      <c r="C80" s="34"/>
      <c r="D80" s="34"/>
      <c r="E80" s="33"/>
    </row>
    <row r="81" customFormat="false" ht="21.75" hidden="false" customHeight="true" outlineLevel="0" collapsed="false">
      <c r="A81" s="21"/>
      <c r="B81" s="22" t="s">
        <v>87</v>
      </c>
      <c r="C81" s="22"/>
      <c r="D81" s="22"/>
      <c r="E81" s="21"/>
    </row>
    <row r="82" customFormat="false" ht="19.5" hidden="false" customHeight="true" outlineLevel="0" collapsed="false">
      <c r="A82" s="6"/>
      <c r="B82" s="23" t="s">
        <v>88</v>
      </c>
      <c r="C82" s="6"/>
      <c r="D82" s="6"/>
      <c r="E82" s="6"/>
    </row>
    <row r="83" customFormat="false" ht="90" hidden="false" customHeight="true" outlineLevel="0" collapsed="false">
      <c r="A83" s="8"/>
      <c r="B83" s="24" t="s">
        <v>89</v>
      </c>
      <c r="C83" s="24"/>
      <c r="D83" s="24"/>
      <c r="E83" s="8"/>
    </row>
    <row r="84" customFormat="false" ht="19.5" hidden="false" customHeight="true" outlineLevel="0" collapsed="false">
      <c r="A84" s="6"/>
      <c r="B84" s="23" t="s">
        <v>90</v>
      </c>
      <c r="C84" s="6"/>
      <c r="D84" s="6"/>
      <c r="E84" s="6"/>
    </row>
    <row r="85" customFormat="false" ht="42" hidden="false" customHeight="true" outlineLevel="0" collapsed="false">
      <c r="A85" s="8"/>
      <c r="B85" s="24" t="s">
        <v>91</v>
      </c>
      <c r="C85" s="24"/>
      <c r="D85" s="24"/>
      <c r="E85" s="8"/>
    </row>
    <row r="86" customFormat="false" ht="19.5" hidden="false" customHeight="true" outlineLevel="0" collapsed="false">
      <c r="A86" s="6"/>
      <c r="B86" s="23" t="s">
        <v>92</v>
      </c>
      <c r="C86" s="6"/>
      <c r="D86" s="6"/>
      <c r="E86" s="6"/>
    </row>
    <row r="87" customFormat="false" ht="27.75" hidden="false" customHeight="true" outlineLevel="0" collapsed="false">
      <c r="A87" s="8"/>
      <c r="B87" s="24" t="s">
        <v>93</v>
      </c>
      <c r="C87" s="24"/>
      <c r="D87" s="24"/>
      <c r="E87" s="8"/>
    </row>
    <row r="88" customFormat="false" ht="19.5" hidden="false" customHeight="true" outlineLevel="0" collapsed="false">
      <c r="A88" s="6"/>
      <c r="B88" s="23" t="s">
        <v>94</v>
      </c>
      <c r="C88" s="6"/>
      <c r="D88" s="6"/>
      <c r="E88" s="6"/>
    </row>
    <row r="89" customFormat="false" ht="27.75" hidden="false" customHeight="true" outlineLevel="0" collapsed="false">
      <c r="A89" s="8"/>
      <c r="B89" s="24" t="s">
        <v>95</v>
      </c>
      <c r="C89" s="24"/>
      <c r="D89" s="24"/>
      <c r="E89" s="8"/>
    </row>
    <row r="90" customFormat="false" ht="9.75" hidden="false" customHeight="true" outlineLevel="0" collapsed="false">
      <c r="A90" s="8"/>
      <c r="B90" s="8"/>
      <c r="C90" s="8"/>
      <c r="D90" s="8"/>
      <c r="E90" s="8"/>
    </row>
    <row r="91" customFormat="false" ht="25.5" hidden="false" customHeight="true" outlineLevel="0" collapsed="false">
      <c r="A91" s="35"/>
      <c r="B91" s="36" t="s">
        <v>96</v>
      </c>
      <c r="C91" s="36"/>
      <c r="D91" s="36"/>
      <c r="E91" s="35"/>
    </row>
    <row r="92" customFormat="false" ht="21.75" hidden="false" customHeight="true" outlineLevel="0" collapsed="false">
      <c r="A92" s="21"/>
      <c r="B92" s="22" t="s">
        <v>97</v>
      </c>
      <c r="C92" s="22"/>
      <c r="D92" s="22"/>
      <c r="E92" s="21"/>
    </row>
    <row r="93" customFormat="false" ht="19.5" hidden="false" customHeight="true" outlineLevel="0" collapsed="false">
      <c r="A93" s="6"/>
      <c r="B93" s="23" t="s">
        <v>98</v>
      </c>
      <c r="C93" s="6"/>
      <c r="D93" s="6"/>
      <c r="E93" s="6"/>
    </row>
    <row r="94" customFormat="false" ht="90" hidden="false" customHeight="true" outlineLevel="0" collapsed="false">
      <c r="A94" s="8"/>
      <c r="B94" s="24" t="s">
        <v>99</v>
      </c>
      <c r="C94" s="24"/>
      <c r="D94" s="24"/>
      <c r="E94" s="8"/>
    </row>
    <row r="95" customFormat="false" ht="19.5" hidden="false" customHeight="true" outlineLevel="0" collapsed="false">
      <c r="A95" s="6"/>
      <c r="B95" s="23" t="s">
        <v>100</v>
      </c>
      <c r="C95" s="6"/>
      <c r="D95" s="6"/>
      <c r="E95" s="6"/>
    </row>
    <row r="96" customFormat="false" ht="42" hidden="false" customHeight="true" outlineLevel="0" collapsed="false">
      <c r="A96" s="8"/>
      <c r="B96" s="24" t="s">
        <v>101</v>
      </c>
      <c r="C96" s="24"/>
      <c r="D96" s="24"/>
      <c r="E96" s="8"/>
    </row>
    <row r="97" customFormat="false" ht="19.5" hidden="false" customHeight="true" outlineLevel="0" collapsed="false">
      <c r="A97" s="6"/>
      <c r="B97" s="23" t="s">
        <v>102</v>
      </c>
      <c r="C97" s="6"/>
      <c r="D97" s="6"/>
      <c r="E97" s="6"/>
    </row>
    <row r="98" customFormat="false" ht="42" hidden="false" customHeight="true" outlineLevel="0" collapsed="false">
      <c r="A98" s="8"/>
      <c r="B98" s="24" t="s">
        <v>103</v>
      </c>
      <c r="C98" s="24"/>
      <c r="D98" s="24"/>
      <c r="E98" s="8"/>
    </row>
    <row r="99" customFormat="false" ht="9.75" hidden="false" customHeight="true" outlineLevel="0" collapsed="false">
      <c r="A99" s="8"/>
      <c r="B99" s="8"/>
      <c r="C99" s="8"/>
      <c r="D99" s="8"/>
      <c r="E99" s="8"/>
    </row>
    <row r="100" customFormat="false" ht="25.5" hidden="false" customHeight="true" outlineLevel="0" collapsed="false">
      <c r="A100" s="1"/>
      <c r="B100" s="37" t="s">
        <v>104</v>
      </c>
      <c r="C100" s="37"/>
      <c r="D100" s="37"/>
      <c r="E100" s="1"/>
    </row>
    <row r="101" customFormat="false" ht="24" hidden="false" customHeight="true" outlineLevel="0" collapsed="false">
      <c r="A101" s="6"/>
      <c r="B101" s="15" t="s">
        <v>105</v>
      </c>
      <c r="C101" s="6"/>
      <c r="D101" s="6"/>
      <c r="E101" s="6"/>
    </row>
    <row r="102" customFormat="false" ht="27.75" hidden="false" customHeight="true" outlineLevel="0" collapsed="false">
      <c r="A102" s="6"/>
      <c r="B102" s="38" t="s">
        <v>106</v>
      </c>
      <c r="C102" s="38"/>
      <c r="D102" s="38"/>
      <c r="E102" s="6"/>
    </row>
    <row r="103" customFormat="false" ht="24" hidden="false" customHeight="true" outlineLevel="0" collapsed="false">
      <c r="A103" s="8"/>
      <c r="B103" s="12" t="s">
        <v>107</v>
      </c>
      <c r="C103" s="8"/>
      <c r="D103" s="8"/>
      <c r="E103" s="8"/>
    </row>
    <row r="104" customFormat="false" ht="27.75" hidden="false" customHeight="true" outlineLevel="0" collapsed="false">
      <c r="A104" s="8"/>
      <c r="B104" s="39" t="s">
        <v>108</v>
      </c>
      <c r="C104" s="39"/>
      <c r="D104" s="39"/>
      <c r="E104" s="8"/>
    </row>
    <row r="105" customFormat="false" ht="24" hidden="false" customHeight="true" outlineLevel="0" collapsed="false">
      <c r="A105" s="6"/>
      <c r="B105" s="15" t="s">
        <v>109</v>
      </c>
      <c r="C105" s="6"/>
      <c r="D105" s="6"/>
      <c r="E105" s="6"/>
    </row>
    <row r="106" customFormat="false" ht="27.75" hidden="false" customHeight="true" outlineLevel="0" collapsed="false">
      <c r="A106" s="6"/>
      <c r="B106" s="38" t="s">
        <v>110</v>
      </c>
      <c r="C106" s="38"/>
      <c r="D106" s="38"/>
      <c r="E106" s="6"/>
    </row>
    <row r="107" customFormat="false" ht="24" hidden="false" customHeight="true" outlineLevel="0" collapsed="false">
      <c r="A107" s="8"/>
      <c r="B107" s="12" t="s">
        <v>111</v>
      </c>
      <c r="C107" s="8"/>
      <c r="D107" s="8"/>
      <c r="E107" s="8"/>
    </row>
    <row r="108" customFormat="false" ht="27.75" hidden="false" customHeight="true" outlineLevel="0" collapsed="false">
      <c r="A108" s="8"/>
      <c r="B108" s="39" t="s">
        <v>112</v>
      </c>
      <c r="C108" s="39"/>
      <c r="D108" s="39"/>
      <c r="E108" s="8"/>
    </row>
    <row r="109" customFormat="false" ht="24" hidden="false" customHeight="true" outlineLevel="0" collapsed="false">
      <c r="A109" s="6"/>
      <c r="B109" s="15" t="s">
        <v>113</v>
      </c>
      <c r="C109" s="6"/>
      <c r="D109" s="6"/>
      <c r="E109" s="6"/>
    </row>
    <row r="110" customFormat="false" ht="27.75" hidden="false" customHeight="true" outlineLevel="0" collapsed="false">
      <c r="A110" s="6"/>
      <c r="B110" s="38" t="s">
        <v>114</v>
      </c>
      <c r="C110" s="38"/>
      <c r="D110" s="38"/>
      <c r="E110" s="6"/>
    </row>
    <row r="111" customFormat="false" ht="24" hidden="false" customHeight="true" outlineLevel="0" collapsed="false">
      <c r="A111" s="8"/>
      <c r="B111" s="12" t="s">
        <v>115</v>
      </c>
      <c r="C111" s="8"/>
      <c r="D111" s="8"/>
      <c r="E111" s="8"/>
    </row>
    <row r="112" customFormat="false" ht="27.75" hidden="false" customHeight="true" outlineLevel="0" collapsed="false">
      <c r="A112" s="8"/>
      <c r="B112" s="39" t="s">
        <v>116</v>
      </c>
      <c r="C112" s="39"/>
      <c r="D112" s="39"/>
      <c r="E112" s="8"/>
    </row>
    <row r="113" customFormat="false" ht="24" hidden="false" customHeight="true" outlineLevel="0" collapsed="false">
      <c r="A113" s="6"/>
      <c r="B113" s="15" t="s">
        <v>117</v>
      </c>
      <c r="C113" s="6"/>
      <c r="D113" s="6"/>
      <c r="E113" s="6"/>
    </row>
    <row r="114" customFormat="false" ht="27.75" hidden="false" customHeight="true" outlineLevel="0" collapsed="false">
      <c r="A114" s="6"/>
      <c r="B114" s="38" t="s">
        <v>118</v>
      </c>
      <c r="C114" s="38"/>
      <c r="D114" s="38"/>
      <c r="E114" s="6"/>
    </row>
    <row r="115" customFormat="false" ht="9.75" hidden="false" customHeight="true" outlineLevel="0" collapsed="false">
      <c r="A115" s="8"/>
      <c r="B115" s="8"/>
      <c r="C115" s="8"/>
      <c r="D115" s="8"/>
      <c r="E115" s="8"/>
    </row>
    <row r="116" customFormat="false" ht="27.75" hidden="false" customHeight="true" outlineLevel="0" collapsed="false">
      <c r="A116" s="40" t="s">
        <v>119</v>
      </c>
      <c r="B116" s="40"/>
      <c r="C116" s="40"/>
      <c r="D116" s="40"/>
      <c r="E116" s="40"/>
    </row>
    <row r="117" customFormat="false" ht="6" hidden="false" customHeight="true" outlineLevel="0" collapsed="false">
      <c r="A117" s="1"/>
      <c r="B117" s="1"/>
      <c r="C117" s="1"/>
      <c r="D117" s="1"/>
      <c r="E117" s="1"/>
    </row>
  </sheetData>
  <mergeCells count="59">
    <mergeCell ref="A2:E2"/>
    <mergeCell ref="A3:E3"/>
    <mergeCell ref="B5:D5"/>
    <mergeCell ref="B6:D6"/>
    <mergeCell ref="B7:D7"/>
    <mergeCell ref="B8:D8"/>
    <mergeCell ref="B20:D20"/>
    <mergeCell ref="B21:D21"/>
    <mergeCell ref="B23:D23"/>
    <mergeCell ref="B25:D25"/>
    <mergeCell ref="B27:D27"/>
    <mergeCell ref="B29:D29"/>
    <mergeCell ref="B30:D30"/>
    <mergeCell ref="B32:D32"/>
    <mergeCell ref="B34:D34"/>
    <mergeCell ref="B36:D36"/>
    <mergeCell ref="B38:D38"/>
    <mergeCell ref="B40:D40"/>
    <mergeCell ref="B41:D41"/>
    <mergeCell ref="B43:D43"/>
    <mergeCell ref="B45:D45"/>
    <mergeCell ref="B47:D47"/>
    <mergeCell ref="B49:D49"/>
    <mergeCell ref="B50:D50"/>
    <mergeCell ref="B52:D52"/>
    <mergeCell ref="B54:D54"/>
    <mergeCell ref="B56:D56"/>
    <mergeCell ref="B58:D58"/>
    <mergeCell ref="B60:D60"/>
    <mergeCell ref="B61:D61"/>
    <mergeCell ref="B63:D63"/>
    <mergeCell ref="B65:D65"/>
    <mergeCell ref="B67:D67"/>
    <mergeCell ref="B69:D69"/>
    <mergeCell ref="B70:D70"/>
    <mergeCell ref="B72:D72"/>
    <mergeCell ref="B74:D74"/>
    <mergeCell ref="B76:D76"/>
    <mergeCell ref="B78:D78"/>
    <mergeCell ref="B80:D80"/>
    <mergeCell ref="B81:D81"/>
    <mergeCell ref="B83:D83"/>
    <mergeCell ref="B85:D85"/>
    <mergeCell ref="B87:D87"/>
    <mergeCell ref="B89:D89"/>
    <mergeCell ref="B91:D91"/>
    <mergeCell ref="B92:D92"/>
    <mergeCell ref="B94:D94"/>
    <mergeCell ref="B96:D96"/>
    <mergeCell ref="B98:D98"/>
    <mergeCell ref="B100:D100"/>
    <mergeCell ref="B102:D102"/>
    <mergeCell ref="B104:D104"/>
    <mergeCell ref="B106:D106"/>
    <mergeCell ref="B108:D108"/>
    <mergeCell ref="B110:D110"/>
    <mergeCell ref="B112:D112"/>
    <mergeCell ref="B114:D114"/>
    <mergeCell ref="A116:E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1" width="24"/>
    <col collapsed="false" customWidth="true" hidden="false" outlineLevel="0" max="3" min="2" style="41" width="18"/>
    <col collapsed="false" customWidth="true" hidden="false" outlineLevel="0" max="4" min="4" style="41" width="14"/>
    <col collapsed="false" customWidth="true" hidden="false" outlineLevel="0" max="5" min="5" style="41" width="4"/>
    <col collapsed="false" customWidth="true" hidden="false" outlineLevel="0" max="6" min="6" style="41" width="20"/>
    <col collapsed="false" customWidth="true" hidden="false" outlineLevel="0" max="8" min="7" style="41" width="16"/>
  </cols>
  <sheetData>
    <row r="1" customFormat="false" ht="36" hidden="false" customHeight="true" outlineLevel="0" collapsed="false">
      <c r="A1" s="42" t="s">
        <v>120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121</v>
      </c>
      <c r="B2" s="43"/>
      <c r="C2" s="43"/>
      <c r="D2" s="43"/>
      <c r="E2" s="43"/>
      <c r="F2" s="43"/>
      <c r="G2" s="43"/>
      <c r="H2" s="43"/>
    </row>
    <row r="3" customFormat="false" ht="15" hidden="false" customHeight="true" outlineLevel="0" collapsed="false">
      <c r="A3" s="44"/>
      <c r="B3" s="44"/>
      <c r="C3" s="44"/>
      <c r="D3" s="44"/>
      <c r="E3" s="44"/>
      <c r="F3" s="44"/>
      <c r="G3" s="44"/>
      <c r="H3" s="44"/>
    </row>
    <row r="4" customFormat="false" ht="13.5" hidden="false" customHeight="true" outlineLevel="0" collapsed="false">
      <c r="B4" s="45" t="s">
        <v>122</v>
      </c>
      <c r="C4" s="45" t="s">
        <v>123</v>
      </c>
      <c r="D4" s="45" t="s">
        <v>124</v>
      </c>
      <c r="E4" s="45" t="s">
        <v>125</v>
      </c>
      <c r="F4" s="45" t="s">
        <v>126</v>
      </c>
      <c r="G4" s="45" t="s">
        <v>127</v>
      </c>
    </row>
    <row r="5" customFormat="false" ht="30" hidden="false" customHeight="true" outlineLevel="0" collapsed="false">
      <c r="B5" s="46" t="str">
        <f aca="false">'📈 Net Worth'!C5</f>
        <v>Cash</v>
      </c>
      <c r="C5" s="47" t="n">
        <f aca="false">'💼 Business Revenue'!C3</f>
        <v>30000</v>
      </c>
      <c r="D5" s="48" t="n">
        <f aca="false">'💳 Expenses'!C3</f>
        <v>3421</v>
      </c>
      <c r="E5" s="49" t="n">
        <f aca="false">IF('💼 Business Revenue'!C3=0,0,('💼 Business Revenue'!C3-'💳 Expenses'!C3)/'💼 Business Revenue'!C3)</f>
        <v>0.885966666666667</v>
      </c>
      <c r="F5" s="48" t="n">
        <f aca="false">'🏦 Debt Tracker'!C3</f>
        <v>60200</v>
      </c>
      <c r="G5" s="50" t="str">
        <f aca="false">B5</f>
        <v>Cash</v>
      </c>
    </row>
    <row r="6" customFormat="false" ht="15" hidden="false" customHeight="true" outlineLevel="0" collapsed="false">
      <c r="B6" s="51"/>
      <c r="C6" s="52"/>
      <c r="D6" s="53"/>
      <c r="E6" s="54"/>
      <c r="F6" s="53"/>
      <c r="G6" s="55"/>
    </row>
    <row r="8" customFormat="false" ht="3.75" hidden="false" customHeight="true" outlineLevel="0" collapsed="false">
      <c r="A8" s="37" t="s">
        <v>128</v>
      </c>
      <c r="B8" s="37"/>
      <c r="C8" s="37"/>
      <c r="D8" s="37"/>
    </row>
    <row r="9" customFormat="false" ht="15" hidden="false" customHeight="true" outlineLevel="0" collapsed="false">
      <c r="A9" s="56" t="s">
        <v>129</v>
      </c>
      <c r="B9" s="56" t="s">
        <v>130</v>
      </c>
      <c r="C9" s="56" t="s">
        <v>131</v>
      </c>
      <c r="D9" s="56" t="s">
        <v>132</v>
      </c>
    </row>
    <row r="10" customFormat="false" ht="15" hidden="false" customHeight="true" outlineLevel="0" collapsed="false">
      <c r="A10" s="57" t="s">
        <v>133</v>
      </c>
      <c r="B10" s="58" t="n">
        <v>3000</v>
      </c>
      <c r="C10" s="59" t="n">
        <f aca="false">'💼 Business Revenue'!C9</f>
        <v>12600</v>
      </c>
      <c r="D10" s="60" t="n">
        <f aca="false">IF(B10=0,0,C10/B10)</f>
        <v>4.2</v>
      </c>
    </row>
    <row r="11" customFormat="false" ht="15" hidden="false" customHeight="true" outlineLevel="0" collapsed="false">
      <c r="A11" s="61" t="s">
        <v>134</v>
      </c>
      <c r="B11" s="62" t="n">
        <v>2000</v>
      </c>
      <c r="C11" s="63" t="n">
        <f aca="false">'💼 Business Revenue'!C10</f>
        <v>5400</v>
      </c>
      <c r="D11" s="64" t="n">
        <f aca="false">IF(B11=0,0,C11/B11)</f>
        <v>2.7</v>
      </c>
    </row>
    <row r="12" customFormat="false" ht="15" hidden="false" customHeight="true" outlineLevel="0" collapsed="false">
      <c r="A12" s="57" t="s">
        <v>135</v>
      </c>
      <c r="B12" s="58" t="n">
        <v>1500</v>
      </c>
      <c r="C12" s="59" t="n">
        <f aca="false">'💼 Business Revenue'!C11</f>
        <v>3600</v>
      </c>
      <c r="D12" s="60" t="n">
        <f aca="false">IF(B12=0,0,C12/B12)</f>
        <v>2.4</v>
      </c>
    </row>
    <row r="13" customFormat="false" ht="15" hidden="false" customHeight="true" outlineLevel="0" collapsed="false">
      <c r="A13" s="61" t="s">
        <v>136</v>
      </c>
      <c r="B13" s="62" t="n">
        <v>2500</v>
      </c>
      <c r="C13" s="63" t="n">
        <f aca="false">'💼 Business Revenue'!C12</f>
        <v>7500</v>
      </c>
      <c r="D13" s="64" t="n">
        <f aca="false">IF(B13=0,0,C13/B13)</f>
        <v>3</v>
      </c>
    </row>
    <row r="14" customFormat="false" ht="15" hidden="false" customHeight="true" outlineLevel="0" collapsed="false">
      <c r="A14" s="57" t="s">
        <v>137</v>
      </c>
      <c r="B14" s="58" t="n">
        <v>500</v>
      </c>
      <c r="C14" s="59" t="n">
        <f aca="false">'💼 Business Revenue'!C13</f>
        <v>900</v>
      </c>
      <c r="D14" s="60" t="n">
        <f aca="false">IF(B14=0,0,C14/B14)</f>
        <v>1.8</v>
      </c>
    </row>
    <row r="15" customFormat="false" ht="15" hidden="false" customHeight="true" outlineLevel="0" collapsed="false">
      <c r="A15" s="65" t="s">
        <v>138</v>
      </c>
      <c r="B15" s="66" t="n">
        <f aca="false">SUM(B10:B14)</f>
        <v>9500</v>
      </c>
      <c r="C15" s="66" t="n">
        <f aca="false">SUM(C10:C14)</f>
        <v>30000</v>
      </c>
      <c r="D15" s="67" t="n">
        <f aca="false">IF(B15=0,0,C15/B15)</f>
        <v>3.15789473684211</v>
      </c>
    </row>
    <row r="17" customFormat="false" ht="3.75" hidden="false" customHeight="true" outlineLevel="0" collapsed="false">
      <c r="F17" s="37" t="s">
        <v>69</v>
      </c>
      <c r="G17" s="37"/>
      <c r="H17" s="37"/>
    </row>
    <row r="18" customFormat="false" ht="15" hidden="false" customHeight="true" outlineLevel="0" collapsed="false">
      <c r="A18" s="68" t="s">
        <v>139</v>
      </c>
      <c r="B18" s="68" t="s">
        <v>140</v>
      </c>
      <c r="C18" s="68" t="s">
        <v>141</v>
      </c>
    </row>
    <row r="19" customFormat="false" ht="15" hidden="false" customHeight="true" outlineLevel="0" collapsed="false">
      <c r="F19" s="69" t="s">
        <v>142</v>
      </c>
      <c r="G19" s="70" t="n">
        <f aca="false">'💰 Savings Goals'!C9</f>
        <v>28200</v>
      </c>
      <c r="H19" s="70" t="n">
        <f aca="false">'💰 Savings Goals'!B9</f>
        <v>145000</v>
      </c>
    </row>
    <row r="20" customFormat="false" ht="15" hidden="false" customHeight="true" outlineLevel="0" collapsed="false">
      <c r="F20" s="71" t="s">
        <v>143</v>
      </c>
      <c r="G20" s="72" t="n">
        <f aca="false">'💰 Savings Goals'!C10</f>
        <v>0</v>
      </c>
      <c r="H20" s="72" t="n">
        <f aca="false">'💰 Savings Goals'!B10</f>
        <v>0</v>
      </c>
    </row>
    <row r="21" customFormat="false" ht="15" hidden="false" customHeight="true" outlineLevel="0" collapsed="false">
      <c r="F21" s="69" t="s">
        <v>144</v>
      </c>
      <c r="G21" s="70" t="n">
        <f aca="false">'💰 Savings Goals'!C11</f>
        <v>0</v>
      </c>
      <c r="H21" s="70" t="n">
        <f aca="false">'💰 Savings Goals'!B11</f>
        <v>0</v>
      </c>
    </row>
  </sheetData>
  <mergeCells count="5">
    <mergeCell ref="A1:H1"/>
    <mergeCell ref="A2:H2"/>
    <mergeCell ref="A3:H3"/>
    <mergeCell ref="A8:D8"/>
    <mergeCell ref="F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1" width="26"/>
    <col collapsed="false" customWidth="true" hidden="false" outlineLevel="0" max="4" min="2" style="41" width="16"/>
    <col collapsed="false" customWidth="true" hidden="false" outlineLevel="0" max="5" min="5" style="41" width="14"/>
    <col collapsed="false" customWidth="true" hidden="false" outlineLevel="0" max="6" min="6" style="41" width="20"/>
    <col collapsed="false" customWidth="true" hidden="false" outlineLevel="0" max="7" min="7" style="41" width="14"/>
  </cols>
  <sheetData>
    <row r="1" customFormat="false" ht="30" hidden="false" customHeight="true" outlineLevel="0" collapsed="false">
      <c r="A1" s="73" t="s">
        <v>145</v>
      </c>
      <c r="B1" s="73"/>
      <c r="C1" s="73"/>
      <c r="D1" s="73"/>
      <c r="E1" s="73"/>
      <c r="F1" s="73"/>
      <c r="G1" s="73"/>
    </row>
    <row r="2" customFormat="false" ht="15" hidden="false" customHeight="true" outlineLevel="0" collapsed="false">
      <c r="A2" s="74" t="s">
        <v>146</v>
      </c>
      <c r="B2" s="74"/>
      <c r="C2" s="74"/>
      <c r="D2" s="74"/>
      <c r="E2" s="74"/>
      <c r="F2" s="74"/>
      <c r="G2" s="74"/>
    </row>
    <row r="3" customFormat="false" ht="15" hidden="false" customHeight="true" outlineLevel="0" collapsed="false">
      <c r="A3" s="75" t="s">
        <v>147</v>
      </c>
      <c r="C3" s="76" t="n">
        <f aca="false">SUM(C9:C13)</f>
        <v>30000</v>
      </c>
    </row>
    <row r="4" customFormat="false" ht="15" hidden="false" customHeight="true" outlineLevel="0" collapsed="false">
      <c r="A4" s="75" t="s">
        <v>148</v>
      </c>
      <c r="C4" s="76" t="n">
        <f aca="false">'💳 Expenses'!C3</f>
        <v>3421</v>
      </c>
    </row>
    <row r="5" customFormat="false" ht="15" hidden="false" customHeight="true" outlineLevel="0" collapsed="false">
      <c r="A5" s="75" t="s">
        <v>149</v>
      </c>
      <c r="C5" s="77" t="n">
        <f aca="false">C3-C4</f>
        <v>26579</v>
      </c>
    </row>
    <row r="6" customFormat="false" ht="6" hidden="false" customHeight="true" outlineLevel="0" collapsed="false"/>
    <row r="7" customFormat="false" ht="15" hidden="false" customHeight="true" outlineLevel="0" collapsed="false">
      <c r="A7" s="5" t="s">
        <v>150</v>
      </c>
      <c r="B7" s="5"/>
      <c r="C7" s="5"/>
      <c r="D7" s="5"/>
      <c r="E7" s="5"/>
      <c r="F7" s="5"/>
      <c r="G7" s="5"/>
    </row>
    <row r="8" customFormat="false" ht="15" hidden="false" customHeight="true" outlineLevel="0" collapsed="false">
      <c r="A8" s="78" t="s">
        <v>129</v>
      </c>
      <c r="B8" s="78" t="s">
        <v>151</v>
      </c>
      <c r="C8" s="78" t="s">
        <v>152</v>
      </c>
      <c r="D8" s="78" t="s">
        <v>153</v>
      </c>
      <c r="E8" s="78" t="s">
        <v>154</v>
      </c>
      <c r="F8" s="78" t="s">
        <v>155</v>
      </c>
    </row>
    <row r="9" customFormat="false" ht="15" hidden="false" customHeight="true" outlineLevel="0" collapsed="false">
      <c r="A9" s="61" t="s">
        <v>133</v>
      </c>
      <c r="B9" s="62" t="n">
        <v>4200</v>
      </c>
      <c r="C9" s="62" t="n">
        <v>12600</v>
      </c>
      <c r="D9" s="62" t="n">
        <v>4000</v>
      </c>
      <c r="E9" s="64" t="n">
        <f aca="false">IF(D9=0,0,B9/D9-1)</f>
        <v>0.05</v>
      </c>
      <c r="F9" s="69"/>
    </row>
    <row r="10" customFormat="false" ht="15" hidden="false" customHeight="true" outlineLevel="0" collapsed="false">
      <c r="A10" s="57" t="s">
        <v>134</v>
      </c>
      <c r="B10" s="58" t="n">
        <v>1800</v>
      </c>
      <c r="C10" s="58" t="n">
        <v>5400</v>
      </c>
      <c r="D10" s="58" t="n">
        <v>2000</v>
      </c>
      <c r="E10" s="60" t="n">
        <f aca="false">IF(D10=0,0,B10/D10-1)</f>
        <v>-0.1</v>
      </c>
      <c r="F10" s="71"/>
    </row>
    <row r="11" customFormat="false" ht="15" hidden="false" customHeight="true" outlineLevel="0" collapsed="false">
      <c r="A11" s="61" t="s">
        <v>135</v>
      </c>
      <c r="B11" s="62" t="n">
        <v>1200</v>
      </c>
      <c r="C11" s="62" t="n">
        <v>3600</v>
      </c>
      <c r="D11" s="62" t="n">
        <v>1500</v>
      </c>
      <c r="E11" s="64" t="n">
        <f aca="false">IF(D11=0,0,B11/D11-1)</f>
        <v>-0.2</v>
      </c>
      <c r="F11" s="69"/>
    </row>
    <row r="12" customFormat="false" ht="15" hidden="false" customHeight="true" outlineLevel="0" collapsed="false">
      <c r="A12" s="57" t="s">
        <v>136</v>
      </c>
      <c r="B12" s="58" t="n">
        <v>2500</v>
      </c>
      <c r="C12" s="58" t="n">
        <v>7500</v>
      </c>
      <c r="D12" s="58" t="n">
        <v>2500</v>
      </c>
      <c r="E12" s="60" t="n">
        <f aca="false">IF(D12=0,0,B12/D12-1)</f>
        <v>0</v>
      </c>
      <c r="F12" s="71"/>
    </row>
    <row r="13" customFormat="false" ht="15" hidden="false" customHeight="true" outlineLevel="0" collapsed="false">
      <c r="A13" s="61" t="s">
        <v>156</v>
      </c>
      <c r="B13" s="62" t="n">
        <v>300</v>
      </c>
      <c r="C13" s="62" t="n">
        <v>900</v>
      </c>
      <c r="D13" s="62" t="n">
        <v>500</v>
      </c>
      <c r="E13" s="64" t="n">
        <f aca="false">IF(D13=0,0,B13/D13-1)</f>
        <v>-0.4</v>
      </c>
      <c r="F13" s="69"/>
    </row>
    <row r="14" customFormat="false" ht="15" hidden="false" customHeight="true" outlineLevel="0" collapsed="false">
      <c r="A14" s="79" t="s">
        <v>138</v>
      </c>
      <c r="B14" s="66" t="n">
        <f aca="false">SUM(B9:B13)</f>
        <v>10000</v>
      </c>
      <c r="C14" s="66" t="n">
        <f aca="false">SUM(C9:C13)</f>
        <v>30000</v>
      </c>
      <c r="D14" s="66" t="n">
        <f aca="false">SUM(D9:D13)</f>
        <v>10500</v>
      </c>
      <c r="E14" s="67" t="n">
        <f aca="false">IF(D14=0,0,B14/D14-1)</f>
        <v>-0.0476190476190477</v>
      </c>
      <c r="F14" s="79"/>
    </row>
    <row r="16" customFormat="false" ht="6" hidden="false" customHeight="true" outlineLevel="0" collapsed="false"/>
    <row r="17" customFormat="false" ht="15" hidden="false" customHeight="true" outlineLevel="0" collapsed="false">
      <c r="A17" s="5" t="s">
        <v>157</v>
      </c>
      <c r="B17" s="5"/>
      <c r="C17" s="5"/>
      <c r="D17" s="5"/>
      <c r="E17" s="5"/>
      <c r="F17" s="5"/>
      <c r="G17" s="5"/>
    </row>
    <row r="18" customFormat="false" ht="15" hidden="false" customHeight="true" outlineLevel="0" collapsed="false">
      <c r="A18" s="78" t="s">
        <v>158</v>
      </c>
      <c r="B18" s="78" t="s">
        <v>159</v>
      </c>
      <c r="C18" s="78" t="s">
        <v>160</v>
      </c>
      <c r="D18" s="78" t="s">
        <v>161</v>
      </c>
      <c r="E18" s="78" t="s">
        <v>162</v>
      </c>
      <c r="F18" s="78" t="s">
        <v>137</v>
      </c>
      <c r="G18" s="78" t="s">
        <v>163</v>
      </c>
    </row>
    <row r="19" customFormat="false" ht="15" hidden="false" customHeight="true" outlineLevel="0" collapsed="false">
      <c r="A19" s="69" t="s">
        <v>164</v>
      </c>
      <c r="B19" s="62" t="n">
        <v>0</v>
      </c>
      <c r="C19" s="62" t="n">
        <v>0</v>
      </c>
      <c r="D19" s="62" t="n">
        <v>0</v>
      </c>
      <c r="E19" s="62" t="n">
        <v>0</v>
      </c>
      <c r="F19" s="62" t="n">
        <v>0</v>
      </c>
      <c r="G19" s="80" t="n">
        <f aca="false">SUM(B19:F19)</f>
        <v>0</v>
      </c>
    </row>
    <row r="20" customFormat="false" ht="15" hidden="false" customHeight="true" outlineLevel="0" collapsed="false">
      <c r="A20" s="71" t="s">
        <v>165</v>
      </c>
      <c r="B20" s="58" t="n">
        <v>0</v>
      </c>
      <c r="C20" s="58" t="n">
        <v>0</v>
      </c>
      <c r="D20" s="58" t="n">
        <v>0</v>
      </c>
      <c r="E20" s="58" t="n">
        <v>0</v>
      </c>
      <c r="F20" s="58" t="n">
        <v>0</v>
      </c>
      <c r="G20" s="81" t="n">
        <f aca="false">SUM(B20:F20)</f>
        <v>0</v>
      </c>
    </row>
    <row r="21" customFormat="false" ht="15" hidden="false" customHeight="true" outlineLevel="0" collapsed="false">
      <c r="A21" s="69" t="s">
        <v>166</v>
      </c>
      <c r="B21" s="62" t="n">
        <v>0</v>
      </c>
      <c r="C21" s="62" t="n">
        <v>0</v>
      </c>
      <c r="D21" s="62" t="n">
        <v>0</v>
      </c>
      <c r="E21" s="62" t="n">
        <v>0</v>
      </c>
      <c r="F21" s="62" t="n">
        <v>0</v>
      </c>
      <c r="G21" s="80" t="n">
        <f aca="false">SUM(B21:F21)</f>
        <v>0</v>
      </c>
    </row>
    <row r="22" customFormat="false" ht="15" hidden="false" customHeight="true" outlineLevel="0" collapsed="false">
      <c r="A22" s="71" t="s">
        <v>167</v>
      </c>
      <c r="B22" s="58" t="n">
        <v>0</v>
      </c>
      <c r="C22" s="58" t="n">
        <v>0</v>
      </c>
      <c r="D22" s="58" t="n">
        <v>0</v>
      </c>
      <c r="E22" s="58" t="n">
        <v>0</v>
      </c>
      <c r="F22" s="58" t="n">
        <v>0</v>
      </c>
      <c r="G22" s="81" t="n">
        <f aca="false">SUM(B22:F22)</f>
        <v>0</v>
      </c>
    </row>
    <row r="23" customFormat="false" ht="15" hidden="false" customHeight="true" outlineLevel="0" collapsed="false">
      <c r="A23" s="69" t="s">
        <v>168</v>
      </c>
      <c r="B23" s="62" t="n">
        <v>0</v>
      </c>
      <c r="C23" s="62" t="n">
        <v>0</v>
      </c>
      <c r="D23" s="62" t="n">
        <v>0</v>
      </c>
      <c r="E23" s="62" t="n">
        <v>0</v>
      </c>
      <c r="F23" s="62" t="n">
        <v>0</v>
      </c>
      <c r="G23" s="80" t="n">
        <f aca="false">SUM(B23:F23)</f>
        <v>0</v>
      </c>
    </row>
    <row r="24" customFormat="false" ht="15" hidden="false" customHeight="true" outlineLevel="0" collapsed="false">
      <c r="A24" s="71" t="s">
        <v>169</v>
      </c>
      <c r="B24" s="58" t="n">
        <v>0</v>
      </c>
      <c r="C24" s="58" t="n">
        <v>0</v>
      </c>
      <c r="D24" s="58" t="n">
        <v>0</v>
      </c>
      <c r="E24" s="58" t="n">
        <v>0</v>
      </c>
      <c r="F24" s="58" t="n">
        <v>0</v>
      </c>
      <c r="G24" s="81" t="n">
        <f aca="false">SUM(B24:F24)</f>
        <v>0</v>
      </c>
    </row>
    <row r="25" customFormat="false" ht="15" hidden="false" customHeight="true" outlineLevel="0" collapsed="false">
      <c r="A25" s="69" t="s">
        <v>170</v>
      </c>
      <c r="B25" s="62" t="n">
        <v>0</v>
      </c>
      <c r="C25" s="62" t="n">
        <v>0</v>
      </c>
      <c r="D25" s="62" t="n">
        <v>0</v>
      </c>
      <c r="E25" s="62" t="n">
        <v>0</v>
      </c>
      <c r="F25" s="62" t="n">
        <v>0</v>
      </c>
      <c r="G25" s="80" t="n">
        <f aca="false">SUM(B25:F25)</f>
        <v>0</v>
      </c>
    </row>
    <row r="26" customFormat="false" ht="15" hidden="false" customHeight="true" outlineLevel="0" collapsed="false">
      <c r="A26" s="71" t="s">
        <v>171</v>
      </c>
      <c r="B26" s="58" t="n">
        <v>0</v>
      </c>
      <c r="C26" s="58" t="n">
        <v>0</v>
      </c>
      <c r="D26" s="58" t="n">
        <v>0</v>
      </c>
      <c r="E26" s="58" t="n">
        <v>0</v>
      </c>
      <c r="F26" s="58" t="n">
        <v>0</v>
      </c>
      <c r="G26" s="81" t="n">
        <f aca="false">SUM(B26:F26)</f>
        <v>0</v>
      </c>
    </row>
    <row r="27" customFormat="false" ht="15" hidden="false" customHeight="true" outlineLevel="0" collapsed="false">
      <c r="A27" s="69" t="s">
        <v>172</v>
      </c>
      <c r="B27" s="62" t="n">
        <v>0</v>
      </c>
      <c r="C27" s="62" t="n">
        <v>0</v>
      </c>
      <c r="D27" s="62" t="n">
        <v>0</v>
      </c>
      <c r="E27" s="62" t="n">
        <v>0</v>
      </c>
      <c r="F27" s="62" t="n">
        <v>0</v>
      </c>
      <c r="G27" s="80" t="n">
        <f aca="false">SUM(B27:F27)</f>
        <v>0</v>
      </c>
    </row>
    <row r="28" customFormat="false" ht="15" hidden="false" customHeight="true" outlineLevel="0" collapsed="false">
      <c r="A28" s="71" t="s">
        <v>173</v>
      </c>
      <c r="B28" s="58" t="n">
        <v>0</v>
      </c>
      <c r="C28" s="58" t="n">
        <v>0</v>
      </c>
      <c r="D28" s="58" t="n">
        <v>0</v>
      </c>
      <c r="E28" s="58" t="n">
        <v>0</v>
      </c>
      <c r="F28" s="58" t="n">
        <v>0</v>
      </c>
      <c r="G28" s="81" t="n">
        <f aca="false">SUM(B28:F28)</f>
        <v>0</v>
      </c>
    </row>
    <row r="29" customFormat="false" ht="15" hidden="false" customHeight="true" outlineLevel="0" collapsed="false">
      <c r="A29" s="69" t="s">
        <v>174</v>
      </c>
      <c r="B29" s="62" t="n">
        <v>0</v>
      </c>
      <c r="C29" s="62" t="n">
        <v>0</v>
      </c>
      <c r="D29" s="62" t="n">
        <v>0</v>
      </c>
      <c r="E29" s="62" t="n">
        <v>0</v>
      </c>
      <c r="F29" s="62" t="n">
        <v>0</v>
      </c>
      <c r="G29" s="80" t="n">
        <f aca="false">SUM(B29:F29)</f>
        <v>0</v>
      </c>
    </row>
    <row r="30" customFormat="false" ht="15" hidden="false" customHeight="true" outlineLevel="0" collapsed="false">
      <c r="A30" s="71" t="s">
        <v>175</v>
      </c>
      <c r="B30" s="58" t="n">
        <v>0</v>
      </c>
      <c r="C30" s="58" t="n">
        <v>0</v>
      </c>
      <c r="D30" s="58" t="n">
        <v>0</v>
      </c>
      <c r="E30" s="58" t="n">
        <v>0</v>
      </c>
      <c r="F30" s="58" t="n">
        <v>0</v>
      </c>
      <c r="G30" s="81" t="n">
        <f aca="false">SUM(B30:F30)</f>
        <v>0</v>
      </c>
    </row>
  </sheetData>
  <mergeCells count="4">
    <mergeCell ref="A1:G1"/>
    <mergeCell ref="A2:G2"/>
    <mergeCell ref="A7:G7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1" width="14"/>
    <col collapsed="false" customWidth="true" hidden="false" outlineLevel="0" max="2" min="2" style="41" width="18"/>
    <col collapsed="false" customWidth="true" hidden="false" outlineLevel="0" max="3" min="3" style="41" width="26"/>
    <col collapsed="false" customWidth="true" hidden="false" outlineLevel="0" max="4" min="4" style="41" width="12"/>
    <col collapsed="false" customWidth="true" hidden="false" outlineLevel="0" max="5" min="5" style="41" width="14"/>
    <col collapsed="false" customWidth="true" hidden="false" outlineLevel="0" max="6" min="6" style="41" width="16"/>
    <col collapsed="false" customWidth="true" hidden="false" outlineLevel="0" max="7" min="7" style="41" width="22"/>
  </cols>
  <sheetData>
    <row r="1" customFormat="false" ht="30" hidden="false" customHeight="true" outlineLevel="0" collapsed="false">
      <c r="A1" s="73" t="s">
        <v>176</v>
      </c>
      <c r="B1" s="73"/>
      <c r="C1" s="73"/>
      <c r="D1" s="73"/>
      <c r="E1" s="73"/>
      <c r="F1" s="73"/>
      <c r="G1" s="73"/>
    </row>
    <row r="3" customFormat="false" ht="15" hidden="false" customHeight="true" outlineLevel="0" collapsed="false">
      <c r="A3" s="75" t="s">
        <v>148</v>
      </c>
      <c r="C3" s="82" t="n">
        <f aca="false">SUM(E9:E40)</f>
        <v>3421</v>
      </c>
    </row>
    <row r="4" customFormat="false" ht="15" hidden="false" customHeight="true" outlineLevel="0" collapsed="false">
      <c r="A4" s="75" t="s">
        <v>177</v>
      </c>
      <c r="C4" s="83" t="n">
        <f aca="false">SUMIF(F9:F40,"Yes",E9:E40)</f>
        <v>891</v>
      </c>
    </row>
    <row r="6" customFormat="false" ht="6" hidden="false" customHeight="true" outlineLevel="0" collapsed="false"/>
    <row r="7" customFormat="false" ht="15" hidden="false" customHeight="true" outlineLevel="0" collapsed="false">
      <c r="A7" s="5" t="s">
        <v>178</v>
      </c>
      <c r="B7" s="5"/>
      <c r="C7" s="5"/>
      <c r="D7" s="5"/>
      <c r="E7" s="5"/>
      <c r="F7" s="5"/>
      <c r="G7" s="5"/>
    </row>
    <row r="8" customFormat="false" ht="15" hidden="false" customHeight="true" outlineLevel="0" collapsed="false">
      <c r="A8" s="78" t="s">
        <v>179</v>
      </c>
      <c r="B8" s="78" t="s">
        <v>180</v>
      </c>
      <c r="C8" s="78" t="s">
        <v>181</v>
      </c>
      <c r="D8" s="78" t="s">
        <v>182</v>
      </c>
      <c r="E8" s="78" t="s">
        <v>183</v>
      </c>
      <c r="F8" s="78" t="s">
        <v>184</v>
      </c>
      <c r="G8" s="78" t="s">
        <v>155</v>
      </c>
    </row>
    <row r="9" customFormat="false" ht="15" hidden="false" customHeight="true" outlineLevel="0" collapsed="false">
      <c r="A9" s="61" t="s">
        <v>185</v>
      </c>
      <c r="B9" s="61" t="s">
        <v>186</v>
      </c>
      <c r="C9" s="61" t="s">
        <v>187</v>
      </c>
      <c r="D9" s="61" t="s">
        <v>188</v>
      </c>
      <c r="E9" s="62" t="n">
        <v>1800</v>
      </c>
      <c r="F9" s="84" t="s">
        <v>189</v>
      </c>
      <c r="G9" s="61"/>
    </row>
    <row r="10" customFormat="false" ht="15" hidden="false" customHeight="true" outlineLevel="0" collapsed="false">
      <c r="A10" s="57" t="s">
        <v>185</v>
      </c>
      <c r="B10" s="57" t="s">
        <v>190</v>
      </c>
      <c r="C10" s="57" t="s">
        <v>191</v>
      </c>
      <c r="D10" s="57" t="s">
        <v>188</v>
      </c>
      <c r="E10" s="58" t="n">
        <v>180</v>
      </c>
      <c r="F10" s="85" t="s">
        <v>189</v>
      </c>
      <c r="G10" s="57"/>
    </row>
    <row r="11" customFormat="false" ht="15" hidden="false" customHeight="true" outlineLevel="0" collapsed="false">
      <c r="A11" s="61" t="s">
        <v>192</v>
      </c>
      <c r="B11" s="61" t="s">
        <v>193</v>
      </c>
      <c r="C11" s="61" t="s">
        <v>194</v>
      </c>
      <c r="D11" s="61" t="s">
        <v>188</v>
      </c>
      <c r="E11" s="62" t="n">
        <v>350</v>
      </c>
      <c r="F11" s="84" t="s">
        <v>189</v>
      </c>
      <c r="G11" s="61"/>
    </row>
    <row r="12" customFormat="false" ht="15" hidden="false" customHeight="true" outlineLevel="0" collapsed="false">
      <c r="A12" s="57" t="s">
        <v>195</v>
      </c>
      <c r="B12" s="57" t="s">
        <v>196</v>
      </c>
      <c r="C12" s="57" t="s">
        <v>197</v>
      </c>
      <c r="D12" s="57" t="s">
        <v>188</v>
      </c>
      <c r="E12" s="58" t="n">
        <v>120</v>
      </c>
      <c r="F12" s="85" t="s">
        <v>189</v>
      </c>
      <c r="G12" s="57"/>
    </row>
    <row r="13" customFormat="false" ht="15" hidden="false" customHeight="true" outlineLevel="0" collapsed="false">
      <c r="A13" s="61" t="s">
        <v>198</v>
      </c>
      <c r="B13" s="61" t="s">
        <v>199</v>
      </c>
      <c r="C13" s="61" t="s">
        <v>200</v>
      </c>
      <c r="D13" s="61" t="s">
        <v>188</v>
      </c>
      <c r="E13" s="62" t="n">
        <v>50</v>
      </c>
      <c r="F13" s="84" t="s">
        <v>189</v>
      </c>
      <c r="G13" s="61"/>
    </row>
    <row r="14" customFormat="false" ht="15" hidden="false" customHeight="true" outlineLevel="0" collapsed="false">
      <c r="A14" s="57" t="s">
        <v>201</v>
      </c>
      <c r="B14" s="57" t="s">
        <v>202</v>
      </c>
      <c r="C14" s="57" t="s">
        <v>203</v>
      </c>
      <c r="D14" s="57" t="s">
        <v>188</v>
      </c>
      <c r="E14" s="58" t="n">
        <v>30</v>
      </c>
      <c r="F14" s="85" t="s">
        <v>189</v>
      </c>
      <c r="G14" s="57"/>
    </row>
    <row r="15" customFormat="false" ht="15" hidden="false" customHeight="true" outlineLevel="0" collapsed="false">
      <c r="A15" s="61" t="s">
        <v>201</v>
      </c>
      <c r="B15" s="61" t="s">
        <v>204</v>
      </c>
      <c r="C15" s="61" t="s">
        <v>205</v>
      </c>
      <c r="D15" s="61" t="s">
        <v>206</v>
      </c>
      <c r="E15" s="62" t="n">
        <v>400</v>
      </c>
      <c r="F15" s="86" t="s">
        <v>207</v>
      </c>
      <c r="G15" s="61" t="s">
        <v>208</v>
      </c>
    </row>
    <row r="16" customFormat="false" ht="15" hidden="false" customHeight="true" outlineLevel="0" collapsed="false">
      <c r="A16" s="57" t="s">
        <v>209</v>
      </c>
      <c r="B16" s="57" t="s">
        <v>210</v>
      </c>
      <c r="C16" s="57" t="s">
        <v>211</v>
      </c>
      <c r="D16" s="57" t="s">
        <v>206</v>
      </c>
      <c r="E16" s="58" t="n">
        <v>99</v>
      </c>
      <c r="F16" s="87" t="s">
        <v>207</v>
      </c>
      <c r="G16" s="57" t="s">
        <v>212</v>
      </c>
    </row>
    <row r="17" customFormat="false" ht="15" hidden="false" customHeight="true" outlineLevel="0" collapsed="false">
      <c r="A17" s="61" t="s">
        <v>213</v>
      </c>
      <c r="B17" s="61" t="s">
        <v>214</v>
      </c>
      <c r="C17" s="61" t="s">
        <v>215</v>
      </c>
      <c r="D17" s="61" t="s">
        <v>206</v>
      </c>
      <c r="E17" s="62" t="n">
        <v>197</v>
      </c>
      <c r="F17" s="86" t="s">
        <v>207</v>
      </c>
      <c r="G17" s="61" t="s">
        <v>216</v>
      </c>
    </row>
    <row r="18" customFormat="false" ht="15" hidden="false" customHeight="true" outlineLevel="0" collapsed="false">
      <c r="A18" s="57" t="s">
        <v>217</v>
      </c>
      <c r="B18" s="57" t="s">
        <v>218</v>
      </c>
      <c r="C18" s="57" t="s">
        <v>219</v>
      </c>
      <c r="D18" s="57" t="s">
        <v>206</v>
      </c>
      <c r="E18" s="58" t="n">
        <v>65</v>
      </c>
      <c r="F18" s="87" t="s">
        <v>207</v>
      </c>
      <c r="G18" s="57"/>
    </row>
    <row r="19" customFormat="false" ht="15" hidden="false" customHeight="true" outlineLevel="0" collapsed="false">
      <c r="A19" s="61" t="s">
        <v>220</v>
      </c>
      <c r="B19" s="61" t="s">
        <v>221</v>
      </c>
      <c r="C19" s="61" t="s">
        <v>222</v>
      </c>
      <c r="D19" s="61" t="s">
        <v>206</v>
      </c>
      <c r="E19" s="62" t="n">
        <v>85</v>
      </c>
      <c r="F19" s="86" t="s">
        <v>207</v>
      </c>
      <c r="G19" s="61" t="s">
        <v>223</v>
      </c>
    </row>
    <row r="20" customFormat="false" ht="15" hidden="false" customHeight="true" outlineLevel="0" collapsed="false">
      <c r="A20" s="57" t="s">
        <v>224</v>
      </c>
      <c r="B20" s="57" t="s">
        <v>225</v>
      </c>
      <c r="C20" s="57" t="s">
        <v>226</v>
      </c>
      <c r="D20" s="57" t="s">
        <v>206</v>
      </c>
      <c r="E20" s="58" t="n">
        <v>45</v>
      </c>
      <c r="F20" s="87" t="s">
        <v>207</v>
      </c>
      <c r="G20" s="57"/>
    </row>
    <row r="21" customFormat="false" ht="15" hidden="false" customHeight="true" outlineLevel="0" collapsed="false">
      <c r="A21" s="69"/>
      <c r="B21" s="69"/>
      <c r="C21" s="69"/>
      <c r="D21" s="69"/>
      <c r="E21" s="70"/>
      <c r="F21" s="69"/>
      <c r="G21" s="69"/>
    </row>
    <row r="22" customFormat="false" ht="15" hidden="false" customHeight="true" outlineLevel="0" collapsed="false">
      <c r="A22" s="71"/>
      <c r="B22" s="71"/>
      <c r="C22" s="71"/>
      <c r="D22" s="71"/>
      <c r="E22" s="72"/>
      <c r="F22" s="71"/>
      <c r="G22" s="71"/>
    </row>
    <row r="23" customFormat="false" ht="15" hidden="false" customHeight="true" outlineLevel="0" collapsed="false">
      <c r="A23" s="69"/>
      <c r="B23" s="69"/>
      <c r="C23" s="69"/>
      <c r="D23" s="69"/>
      <c r="E23" s="70"/>
      <c r="F23" s="69"/>
      <c r="G23" s="69"/>
    </row>
    <row r="24" customFormat="false" ht="15" hidden="false" customHeight="true" outlineLevel="0" collapsed="false">
      <c r="A24" s="71"/>
      <c r="B24" s="71"/>
      <c r="C24" s="71"/>
      <c r="D24" s="71"/>
      <c r="E24" s="72"/>
      <c r="F24" s="71"/>
      <c r="G24" s="71"/>
    </row>
    <row r="25" customFormat="false" ht="15" hidden="false" customHeight="true" outlineLevel="0" collapsed="false">
      <c r="A25" s="69"/>
      <c r="B25" s="69"/>
      <c r="C25" s="69"/>
      <c r="D25" s="69"/>
      <c r="E25" s="70"/>
      <c r="F25" s="69"/>
      <c r="G25" s="69"/>
    </row>
    <row r="26" customFormat="false" ht="15" hidden="false" customHeight="true" outlineLevel="0" collapsed="false">
      <c r="A26" s="71"/>
      <c r="B26" s="71"/>
      <c r="C26" s="71"/>
      <c r="D26" s="71"/>
      <c r="E26" s="72"/>
      <c r="F26" s="71"/>
      <c r="G26" s="71"/>
    </row>
    <row r="27" customFormat="false" ht="15" hidden="false" customHeight="true" outlineLevel="0" collapsed="false">
      <c r="A27" s="69"/>
      <c r="B27" s="69"/>
      <c r="C27" s="69"/>
      <c r="D27" s="69"/>
      <c r="E27" s="70"/>
      <c r="F27" s="69"/>
      <c r="G27" s="69"/>
    </row>
    <row r="28" customFormat="false" ht="15" hidden="false" customHeight="true" outlineLevel="0" collapsed="false">
      <c r="A28" s="71"/>
      <c r="B28" s="71"/>
      <c r="C28" s="71"/>
      <c r="D28" s="71"/>
      <c r="E28" s="72"/>
      <c r="F28" s="71"/>
      <c r="G28" s="71"/>
    </row>
    <row r="29" customFormat="false" ht="15" hidden="false" customHeight="true" outlineLevel="0" collapsed="false">
      <c r="A29" s="69"/>
      <c r="B29" s="69"/>
      <c r="C29" s="69"/>
      <c r="D29" s="69"/>
      <c r="E29" s="70"/>
      <c r="F29" s="69"/>
      <c r="G29" s="69"/>
    </row>
    <row r="30" customFormat="false" ht="15" hidden="false" customHeight="true" outlineLevel="0" collapsed="false">
      <c r="A30" s="71"/>
      <c r="B30" s="71"/>
      <c r="C30" s="71"/>
      <c r="D30" s="71"/>
      <c r="E30" s="72"/>
      <c r="F30" s="71"/>
      <c r="G30" s="71"/>
    </row>
    <row r="31" customFormat="false" ht="15" hidden="false" customHeight="true" outlineLevel="0" collapsed="false">
      <c r="A31" s="69"/>
      <c r="B31" s="69"/>
      <c r="C31" s="69"/>
      <c r="D31" s="69"/>
      <c r="E31" s="70"/>
      <c r="F31" s="69"/>
      <c r="G31" s="69"/>
    </row>
    <row r="32" customFormat="false" ht="15" hidden="false" customHeight="true" outlineLevel="0" collapsed="false">
      <c r="A32" s="71"/>
      <c r="B32" s="71"/>
      <c r="C32" s="71"/>
      <c r="D32" s="71"/>
      <c r="E32" s="72"/>
      <c r="F32" s="71"/>
      <c r="G32" s="71"/>
    </row>
    <row r="33" customFormat="false" ht="15" hidden="false" customHeight="true" outlineLevel="0" collapsed="false">
      <c r="A33" s="69"/>
      <c r="B33" s="69"/>
      <c r="C33" s="69"/>
      <c r="D33" s="69"/>
      <c r="E33" s="70"/>
      <c r="F33" s="69"/>
      <c r="G33" s="69"/>
    </row>
    <row r="34" customFormat="false" ht="15" hidden="false" customHeight="true" outlineLevel="0" collapsed="false">
      <c r="A34" s="71"/>
      <c r="B34" s="71"/>
      <c r="C34" s="71"/>
      <c r="D34" s="71"/>
      <c r="E34" s="72"/>
      <c r="F34" s="71"/>
      <c r="G34" s="71"/>
    </row>
    <row r="35" customFormat="false" ht="15" hidden="false" customHeight="true" outlineLevel="0" collapsed="false">
      <c r="A35" s="69"/>
      <c r="B35" s="69"/>
      <c r="C35" s="69"/>
      <c r="D35" s="69"/>
      <c r="E35" s="70"/>
      <c r="F35" s="69"/>
      <c r="G35" s="69"/>
    </row>
    <row r="36" customFormat="false" ht="15" hidden="false" customHeight="true" outlineLevel="0" collapsed="false">
      <c r="A36" s="71"/>
      <c r="B36" s="71"/>
      <c r="C36" s="71"/>
      <c r="D36" s="71"/>
      <c r="E36" s="72"/>
      <c r="F36" s="71"/>
      <c r="G36" s="71"/>
    </row>
    <row r="37" customFormat="false" ht="15" hidden="false" customHeight="true" outlineLevel="0" collapsed="false">
      <c r="A37" s="69"/>
      <c r="B37" s="69"/>
      <c r="C37" s="69"/>
      <c r="D37" s="69"/>
      <c r="E37" s="70"/>
      <c r="F37" s="69"/>
      <c r="G37" s="69"/>
    </row>
    <row r="38" customFormat="false" ht="15" hidden="false" customHeight="true" outlineLevel="0" collapsed="false">
      <c r="A38" s="71"/>
      <c r="B38" s="71"/>
      <c r="C38" s="71"/>
      <c r="D38" s="71"/>
      <c r="E38" s="72"/>
      <c r="F38" s="71"/>
      <c r="G38" s="71"/>
    </row>
    <row r="39" customFormat="false" ht="15" hidden="false" customHeight="true" outlineLevel="0" collapsed="false">
      <c r="A39" s="69"/>
      <c r="B39" s="69"/>
      <c r="C39" s="69"/>
      <c r="D39" s="69"/>
      <c r="E39" s="70"/>
      <c r="F39" s="69"/>
      <c r="G39" s="69"/>
    </row>
    <row r="40" customFormat="false" ht="15" hidden="false" customHeight="true" outlineLevel="0" collapsed="false">
      <c r="A40" s="71"/>
      <c r="B40" s="71"/>
      <c r="C40" s="71"/>
      <c r="D40" s="71"/>
      <c r="E40" s="72"/>
      <c r="F40" s="71"/>
      <c r="G40" s="71"/>
    </row>
  </sheetData>
  <mergeCells count="2">
    <mergeCell ref="A1:G1"/>
    <mergeCell ref="A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1" width="22"/>
    <col collapsed="false" customWidth="true" hidden="false" outlineLevel="0" max="4" min="2" style="41" width="14"/>
    <col collapsed="false" customWidth="true" hidden="false" outlineLevel="0" max="5" min="5" style="41" width="12"/>
    <col collapsed="false" customWidth="true" hidden="false" outlineLevel="0" max="6" min="6" style="41" width="14"/>
    <col collapsed="false" customWidth="true" hidden="false" outlineLevel="0" max="7" min="7" style="41" width="22"/>
  </cols>
  <sheetData>
    <row r="1" customFormat="false" ht="30" hidden="false" customHeight="true" outlineLevel="0" collapsed="false">
      <c r="A1" s="73" t="s">
        <v>227</v>
      </c>
      <c r="B1" s="73"/>
      <c r="C1" s="73"/>
      <c r="D1" s="73"/>
      <c r="E1" s="73"/>
      <c r="F1" s="73"/>
      <c r="G1" s="73"/>
    </row>
    <row r="3" customFormat="false" ht="15" hidden="false" customHeight="true" outlineLevel="0" collapsed="false">
      <c r="A3" s="56" t="s">
        <v>180</v>
      </c>
      <c r="B3" s="56" t="s">
        <v>228</v>
      </c>
      <c r="C3" s="56" t="s">
        <v>131</v>
      </c>
      <c r="D3" s="56" t="s">
        <v>229</v>
      </c>
      <c r="E3" s="56" t="s">
        <v>230</v>
      </c>
      <c r="F3" s="56" t="s">
        <v>231</v>
      </c>
      <c r="G3" s="56" t="s">
        <v>155</v>
      </c>
    </row>
    <row r="4" customFormat="false" ht="15" hidden="false" customHeight="true" outlineLevel="0" collapsed="false">
      <c r="A4" s="71" t="s">
        <v>186</v>
      </c>
      <c r="B4" s="58" t="n">
        <v>1800</v>
      </c>
      <c r="C4" s="59" t="n">
        <f aca="false">'💳 Expenses'!E9</f>
        <v>1800</v>
      </c>
      <c r="D4" s="88" t="n">
        <f aca="false">B4-C4</f>
        <v>0</v>
      </c>
      <c r="E4" s="60" t="n">
        <f aca="false">IF(B4=0,0,(B4-C4)/B4)</f>
        <v>0</v>
      </c>
      <c r="F4" s="89" t="str">
        <f aca="false">IF(D4&gt;=0,"✅ Under","⚠️ Over")</f>
        <v>✅ Under</v>
      </c>
      <c r="G4" s="71"/>
    </row>
    <row r="5" customFormat="false" ht="15" hidden="false" customHeight="true" outlineLevel="0" collapsed="false">
      <c r="A5" s="69" t="s">
        <v>190</v>
      </c>
      <c r="B5" s="62" t="n">
        <v>200</v>
      </c>
      <c r="C5" s="63" t="n">
        <f aca="false">'💳 Expenses'!E10</f>
        <v>180</v>
      </c>
      <c r="D5" s="90" t="n">
        <f aca="false">B5-C5</f>
        <v>20</v>
      </c>
      <c r="E5" s="64" t="n">
        <f aca="false">IF(B5=0,0,(B5-C5)/B5)</f>
        <v>0.1</v>
      </c>
      <c r="F5" s="91" t="str">
        <f aca="false">IF(D5&gt;=0,"✅ Under","⚠️ Over")</f>
        <v>✅ Under</v>
      </c>
      <c r="G5" s="69"/>
    </row>
    <row r="6" customFormat="false" ht="15" hidden="false" customHeight="true" outlineLevel="0" collapsed="false">
      <c r="A6" s="71" t="s">
        <v>232</v>
      </c>
      <c r="B6" s="58" t="n">
        <v>400</v>
      </c>
      <c r="C6" s="59" t="n">
        <f aca="false">'💳 Expenses'!E11</f>
        <v>350</v>
      </c>
      <c r="D6" s="88" t="n">
        <f aca="false">B6-C6</f>
        <v>50</v>
      </c>
      <c r="E6" s="60" t="n">
        <f aca="false">IF(B6=0,0,(B6-C6)/B6)</f>
        <v>0.125</v>
      </c>
      <c r="F6" s="89" t="str">
        <f aca="false">IF(D6&gt;=0,"✅ Under","⚠️ Over")</f>
        <v>✅ Under</v>
      </c>
      <c r="G6" s="71"/>
    </row>
    <row r="7" customFormat="false" ht="15" hidden="false" customHeight="true" outlineLevel="0" collapsed="false">
      <c r="A7" s="69" t="s">
        <v>196</v>
      </c>
      <c r="B7" s="62" t="n">
        <v>150</v>
      </c>
      <c r="C7" s="63" t="n">
        <f aca="false">'💳 Expenses'!E12</f>
        <v>120</v>
      </c>
      <c r="D7" s="90" t="n">
        <f aca="false">B7-C7</f>
        <v>30</v>
      </c>
      <c r="E7" s="64" t="n">
        <f aca="false">IF(B7=0,0,(B7-C7)/B7)</f>
        <v>0.2</v>
      </c>
      <c r="F7" s="91" t="str">
        <f aca="false">IF(D7&gt;=0,"✅ Under","⚠️ Over")</f>
        <v>✅ Under</v>
      </c>
      <c r="G7" s="69"/>
    </row>
    <row r="8" customFormat="false" ht="15" hidden="false" customHeight="true" outlineLevel="0" collapsed="false">
      <c r="A8" s="71" t="s">
        <v>199</v>
      </c>
      <c r="B8" s="58" t="n">
        <v>100</v>
      </c>
      <c r="C8" s="59" t="n">
        <f aca="false">'💳 Expenses'!E13</f>
        <v>50</v>
      </c>
      <c r="D8" s="88" t="n">
        <f aca="false">B8-C8</f>
        <v>50</v>
      </c>
      <c r="E8" s="60" t="n">
        <f aca="false">IF(B8=0,0,(B8-C8)/B8)</f>
        <v>0.5</v>
      </c>
      <c r="F8" s="89" t="str">
        <f aca="false">IF(D8&gt;=0,"✅ Under","⚠️ Over")</f>
        <v>✅ Under</v>
      </c>
      <c r="G8" s="71"/>
    </row>
    <row r="9" customFormat="false" ht="15" hidden="false" customHeight="true" outlineLevel="0" collapsed="false">
      <c r="A9" s="69" t="s">
        <v>202</v>
      </c>
      <c r="B9" s="62" t="n">
        <v>50</v>
      </c>
      <c r="C9" s="63" t="n">
        <f aca="false">'💳 Expenses'!E14</f>
        <v>30</v>
      </c>
      <c r="D9" s="90" t="n">
        <f aca="false">B9-C9</f>
        <v>20</v>
      </c>
      <c r="E9" s="64" t="n">
        <f aca="false">IF(B9=0,0,(B9-C9)/B9)</f>
        <v>0.4</v>
      </c>
      <c r="F9" s="91" t="str">
        <f aca="false">IF(D9&gt;=0,"✅ Under","⚠️ Over")</f>
        <v>✅ Under</v>
      </c>
      <c r="G9" s="69"/>
    </row>
    <row r="10" customFormat="false" ht="15" hidden="false" customHeight="true" outlineLevel="0" collapsed="false">
      <c r="A10" s="71" t="s">
        <v>233</v>
      </c>
      <c r="B10" s="58" t="n">
        <v>500</v>
      </c>
      <c r="C10" s="59" t="n">
        <f aca="false">'💳 Expenses'!E15</f>
        <v>400</v>
      </c>
      <c r="D10" s="88" t="n">
        <f aca="false">B10-C10</f>
        <v>100</v>
      </c>
      <c r="E10" s="60" t="n">
        <f aca="false">IF(B10=0,0,(B10-C10)/B10)</f>
        <v>0.2</v>
      </c>
      <c r="F10" s="89" t="str">
        <f aca="false">IF(D10&gt;=0,"✅ Under","⚠️ Over")</f>
        <v>✅ Under</v>
      </c>
      <c r="G10" s="71"/>
    </row>
    <row r="11" customFormat="false" ht="15" hidden="false" customHeight="true" outlineLevel="0" collapsed="false">
      <c r="A11" s="69" t="s">
        <v>234</v>
      </c>
      <c r="B11" s="62" t="n">
        <v>150</v>
      </c>
      <c r="C11" s="63" t="n">
        <f aca="false">'💳 Expenses'!E16</f>
        <v>99</v>
      </c>
      <c r="D11" s="90" t="n">
        <f aca="false">B11-C11</f>
        <v>51</v>
      </c>
      <c r="E11" s="64" t="n">
        <f aca="false">IF(B11=0,0,(B11-C11)/B11)</f>
        <v>0.34</v>
      </c>
      <c r="F11" s="91" t="str">
        <f aca="false">IF(D11&gt;=0,"✅ Under","⚠️ Over")</f>
        <v>✅ Under</v>
      </c>
      <c r="G11" s="69"/>
    </row>
    <row r="12" customFormat="false" ht="15" hidden="false" customHeight="true" outlineLevel="0" collapsed="false">
      <c r="A12" s="71" t="s">
        <v>214</v>
      </c>
      <c r="B12" s="58" t="n">
        <v>200</v>
      </c>
      <c r="C12" s="59" t="n">
        <f aca="false">'💳 Expenses'!E17</f>
        <v>197</v>
      </c>
      <c r="D12" s="88" t="n">
        <f aca="false">B12-C12</f>
        <v>3</v>
      </c>
      <c r="E12" s="60" t="n">
        <f aca="false">IF(B12=0,0,(B12-C12)/B12)</f>
        <v>0.015</v>
      </c>
      <c r="F12" s="89" t="str">
        <f aca="false">IF(D12&gt;=0,"✅ Under","⚠️ Over")</f>
        <v>✅ Under</v>
      </c>
      <c r="G12" s="71"/>
    </row>
    <row r="13" customFormat="false" ht="15" hidden="false" customHeight="true" outlineLevel="0" collapsed="false">
      <c r="A13" s="69" t="s">
        <v>218</v>
      </c>
      <c r="B13" s="62" t="n">
        <v>80</v>
      </c>
      <c r="C13" s="63" t="n">
        <f aca="false">'💳 Expenses'!E18</f>
        <v>65</v>
      </c>
      <c r="D13" s="90" t="n">
        <f aca="false">B13-C13</f>
        <v>15</v>
      </c>
      <c r="E13" s="64" t="n">
        <f aca="false">IF(B13=0,0,(B13-C13)/B13)</f>
        <v>0.1875</v>
      </c>
      <c r="F13" s="91" t="str">
        <f aca="false">IF(D13&gt;=0,"✅ Under","⚠️ Over")</f>
        <v>✅ Under</v>
      </c>
      <c r="G13" s="69"/>
    </row>
    <row r="14" customFormat="false" ht="15" hidden="false" customHeight="true" outlineLevel="0" collapsed="false">
      <c r="A14" s="71" t="s">
        <v>235</v>
      </c>
      <c r="B14" s="58" t="n">
        <v>150</v>
      </c>
      <c r="C14" s="59" t="n">
        <f aca="false">'💳 Expenses'!E19</f>
        <v>85</v>
      </c>
      <c r="D14" s="88" t="n">
        <f aca="false">B14-C14</f>
        <v>65</v>
      </c>
      <c r="E14" s="60" t="n">
        <f aca="false">IF(B14=0,0,(B14-C14)/B14)</f>
        <v>0.433333333333333</v>
      </c>
      <c r="F14" s="89" t="str">
        <f aca="false">IF(D14&gt;=0,"✅ Under","⚠️ Over")</f>
        <v>✅ Under</v>
      </c>
      <c r="G14" s="71"/>
    </row>
    <row r="15" customFormat="false" ht="15" hidden="false" customHeight="true" outlineLevel="0" collapsed="false">
      <c r="A15" s="69" t="s">
        <v>236</v>
      </c>
      <c r="B15" s="62" t="n">
        <v>60</v>
      </c>
      <c r="C15" s="63" t="n">
        <f aca="false">'💳 Expenses'!E20</f>
        <v>45</v>
      </c>
      <c r="D15" s="90" t="n">
        <f aca="false">B15-C15</f>
        <v>15</v>
      </c>
      <c r="E15" s="64" t="n">
        <f aca="false">IF(B15=0,0,(B15-C15)/B15)</f>
        <v>0.25</v>
      </c>
      <c r="F15" s="91" t="str">
        <f aca="false">IF(D15&gt;=0,"✅ Under","⚠️ Over")</f>
        <v>✅ Under</v>
      </c>
      <c r="G15" s="69"/>
    </row>
    <row r="16" customFormat="false" ht="15" hidden="false" customHeight="true" outlineLevel="0" collapsed="false">
      <c r="A16" s="71" t="s">
        <v>237</v>
      </c>
      <c r="B16" s="58" t="n">
        <v>200</v>
      </c>
      <c r="C16" s="59" t="s">
        <v>238</v>
      </c>
      <c r="D16" s="88" t="n">
        <f aca="false">B16-C16</f>
        <v>200</v>
      </c>
      <c r="E16" s="60" t="n">
        <f aca="false">IF(B16=0,0,(B16-C16)/B16)</f>
        <v>1</v>
      </c>
      <c r="F16" s="89" t="str">
        <f aca="false">IF(D16&gt;=0,"✅ Under","⚠️ Over")</f>
        <v>✅ Under</v>
      </c>
      <c r="G16" s="71"/>
    </row>
    <row r="17" customFormat="false" ht="15" hidden="false" customHeight="true" outlineLevel="0" collapsed="false">
      <c r="A17" s="79" t="s">
        <v>138</v>
      </c>
      <c r="B17" s="66" t="n">
        <f aca="false">SUM(B4:B16)</f>
        <v>4040</v>
      </c>
      <c r="C17" s="66" t="n">
        <f aca="false">SUM(C4:C16)</f>
        <v>3421</v>
      </c>
      <c r="D17" s="66" t="n">
        <f aca="false">B17-C17</f>
        <v>619</v>
      </c>
      <c r="E17" s="67" t="n">
        <f aca="false">IF(B17=0,0,(B17-C17)/B17)</f>
        <v>0.153217821782178</v>
      </c>
      <c r="F17" s="79"/>
      <c r="G17" s="79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1" width="26"/>
    <col collapsed="false" customWidth="true" hidden="false" outlineLevel="0" max="4" min="2" style="41" width="14"/>
    <col collapsed="false" customWidth="true" hidden="false" outlineLevel="0" max="5" min="5" style="41" width="12"/>
    <col collapsed="false" customWidth="true" hidden="false" outlineLevel="0" max="7" min="6" style="41" width="14"/>
  </cols>
  <sheetData>
    <row r="1" customFormat="false" ht="30" hidden="false" customHeight="true" outlineLevel="0" collapsed="false">
      <c r="A1" s="73" t="s">
        <v>239</v>
      </c>
      <c r="B1" s="73"/>
      <c r="C1" s="73"/>
      <c r="D1" s="73"/>
      <c r="E1" s="73"/>
      <c r="F1" s="73"/>
      <c r="G1" s="73"/>
    </row>
    <row r="3" customFormat="false" ht="15" hidden="false" customHeight="true" outlineLevel="0" collapsed="false">
      <c r="A3" s="56" t="s">
        <v>240</v>
      </c>
      <c r="B3" s="56" t="s">
        <v>130</v>
      </c>
      <c r="C3" s="56" t="s">
        <v>241</v>
      </c>
      <c r="D3" s="56" t="s">
        <v>242</v>
      </c>
      <c r="E3" s="56" t="s">
        <v>243</v>
      </c>
      <c r="F3" s="56" t="s">
        <v>244</v>
      </c>
      <c r="G3" s="56" t="s">
        <v>245</v>
      </c>
    </row>
    <row r="4" customFormat="false" ht="15" hidden="false" customHeight="true" outlineLevel="0" collapsed="false">
      <c r="A4" s="57" t="s">
        <v>246</v>
      </c>
      <c r="B4" s="58" t="n">
        <v>9000</v>
      </c>
      <c r="C4" s="58" t="n">
        <v>3200</v>
      </c>
      <c r="D4" s="81" t="n">
        <f aca="false">B4-C4</f>
        <v>5800</v>
      </c>
      <c r="E4" s="60" t="n">
        <f aca="false">IF(B4=0,0,C4/B4)</f>
        <v>0.355555555555556</v>
      </c>
      <c r="F4" s="58" t="n">
        <v>500</v>
      </c>
      <c r="G4" s="89" t="n">
        <f aca="false">IF(F4=0,"N/A",CEILING(D4/F4,1))</f>
        <v>12</v>
      </c>
    </row>
    <row r="5" customFormat="false" ht="15" hidden="false" customHeight="true" outlineLevel="0" collapsed="false">
      <c r="A5" s="61" t="s">
        <v>247</v>
      </c>
      <c r="B5" s="62" t="n">
        <v>100000</v>
      </c>
      <c r="C5" s="62" t="n">
        <v>18500</v>
      </c>
      <c r="D5" s="80" t="n">
        <f aca="false">B5-C5</f>
        <v>81500</v>
      </c>
      <c r="E5" s="64" t="n">
        <f aca="false">IF(B5=0,0,C5/B5)</f>
        <v>0.185</v>
      </c>
      <c r="F5" s="62" t="n">
        <v>1000</v>
      </c>
      <c r="G5" s="91" t="n">
        <f aca="false">IF(F5=0,"N/A",CEILING(D5/F5,1))</f>
        <v>82</v>
      </c>
    </row>
    <row r="6" customFormat="false" ht="15" hidden="false" customHeight="true" outlineLevel="0" collapsed="false">
      <c r="A6" s="57" t="s">
        <v>248</v>
      </c>
      <c r="B6" s="58" t="n">
        <v>25000</v>
      </c>
      <c r="C6" s="58" t="n">
        <v>4200</v>
      </c>
      <c r="D6" s="81" t="n">
        <f aca="false">B6-C6</f>
        <v>20800</v>
      </c>
      <c r="E6" s="60" t="n">
        <f aca="false">IF(B6=0,0,C6/B6)</f>
        <v>0.168</v>
      </c>
      <c r="F6" s="58" t="n">
        <v>750</v>
      </c>
      <c r="G6" s="89" t="n">
        <f aca="false">IF(F6=0,"N/A",CEILING(D6/F6,1))</f>
        <v>28</v>
      </c>
    </row>
    <row r="7" customFormat="false" ht="15" hidden="false" customHeight="true" outlineLevel="0" collapsed="false">
      <c r="A7" s="61" t="s">
        <v>249</v>
      </c>
      <c r="B7" s="62" t="n">
        <v>8000</v>
      </c>
      <c r="C7" s="62" t="n">
        <v>1500</v>
      </c>
      <c r="D7" s="80" t="n">
        <f aca="false">B7-C7</f>
        <v>6500</v>
      </c>
      <c r="E7" s="64" t="n">
        <f aca="false">IF(B7=0,0,C7/B7)</f>
        <v>0.1875</v>
      </c>
      <c r="F7" s="62" t="n">
        <v>400</v>
      </c>
      <c r="G7" s="91" t="n">
        <f aca="false">IF(F7=0,"N/A",CEILING(D7/F7,1))</f>
        <v>17</v>
      </c>
    </row>
    <row r="8" customFormat="false" ht="15" hidden="false" customHeight="true" outlineLevel="0" collapsed="false">
      <c r="A8" s="57" t="s">
        <v>250</v>
      </c>
      <c r="B8" s="58" t="n">
        <v>3000</v>
      </c>
      <c r="C8" s="58" t="n">
        <v>800</v>
      </c>
      <c r="D8" s="81" t="n">
        <f aca="false">B8-C8</f>
        <v>2200</v>
      </c>
      <c r="E8" s="60" t="n">
        <f aca="false">IF(B8=0,0,C8/B8)</f>
        <v>0.266666666666667</v>
      </c>
      <c r="F8" s="58" t="n">
        <v>200</v>
      </c>
      <c r="G8" s="89" t="n">
        <f aca="false">IF(F8=0,"N/A",CEILING(D8/F8,1))</f>
        <v>11</v>
      </c>
    </row>
    <row r="9" customFormat="false" ht="15" hidden="false" customHeight="true" outlineLevel="0" collapsed="false">
      <c r="A9" s="79" t="s">
        <v>138</v>
      </c>
      <c r="B9" s="66" t="n">
        <f aca="false">SUM(B4:B8)</f>
        <v>145000</v>
      </c>
      <c r="C9" s="66" t="n">
        <f aca="false">SUM(C4:C8)</f>
        <v>28200</v>
      </c>
      <c r="D9" s="66" t="n">
        <f aca="false">SUM(D4:D8)</f>
        <v>116800</v>
      </c>
      <c r="E9" s="67" t="n">
        <f aca="false">IF(B9=0,0,C9/B9)</f>
        <v>0.19448275862069</v>
      </c>
      <c r="F9" s="66" t="n">
        <f aca="false">SUM(F4:F8)</f>
        <v>2850</v>
      </c>
      <c r="G9" s="79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1" width="22"/>
    <col collapsed="false" customWidth="true" hidden="false" outlineLevel="0" max="2" min="2" style="41" width="16"/>
    <col collapsed="false" customWidth="true" hidden="false" outlineLevel="0" max="3" min="3" style="41" width="14"/>
    <col collapsed="false" customWidth="true" hidden="false" outlineLevel="0" max="4" min="4" style="41" width="10"/>
    <col collapsed="false" customWidth="true" hidden="false" outlineLevel="0" max="5" min="5" style="41" width="16"/>
    <col collapsed="false" customWidth="true" hidden="false" outlineLevel="0" max="6" min="6" style="41" width="12"/>
    <col collapsed="false" customWidth="true" hidden="false" outlineLevel="0" max="7" min="7" style="41" width="16"/>
    <col collapsed="false" customWidth="true" hidden="false" outlineLevel="0" max="8" min="8" style="41" width="14"/>
  </cols>
  <sheetData>
    <row r="1" customFormat="false" ht="30" hidden="false" customHeight="true" outlineLevel="0" collapsed="false">
      <c r="A1" s="73" t="s">
        <v>251</v>
      </c>
      <c r="B1" s="73"/>
      <c r="C1" s="73"/>
      <c r="D1" s="73"/>
      <c r="E1" s="73"/>
      <c r="F1" s="73"/>
      <c r="G1" s="73"/>
      <c r="H1" s="73"/>
    </row>
    <row r="3" customFormat="false" ht="15" hidden="false" customHeight="true" outlineLevel="0" collapsed="false">
      <c r="A3" s="75" t="s">
        <v>252</v>
      </c>
      <c r="C3" s="82" t="n">
        <f aca="false">SUM(C8:C15)</f>
        <v>60200</v>
      </c>
    </row>
    <row r="4" customFormat="false" ht="15" hidden="false" customHeight="true" outlineLevel="0" collapsed="false">
      <c r="A4" s="75" t="s">
        <v>253</v>
      </c>
      <c r="C4" s="92" t="n">
        <f aca="false">SUM(E8:E15)</f>
        <v>1300</v>
      </c>
    </row>
    <row r="7" customFormat="false" ht="15" hidden="false" customHeight="true" outlineLevel="0" collapsed="false">
      <c r="A7" s="56" t="s">
        <v>254</v>
      </c>
      <c r="B7" s="56" t="s">
        <v>182</v>
      </c>
      <c r="C7" s="56" t="s">
        <v>255</v>
      </c>
      <c r="D7" s="56" t="s">
        <v>256</v>
      </c>
      <c r="E7" s="56" t="s">
        <v>257</v>
      </c>
      <c r="F7" s="56" t="s">
        <v>258</v>
      </c>
      <c r="G7" s="56" t="s">
        <v>259</v>
      </c>
      <c r="H7" s="56" t="s">
        <v>260</v>
      </c>
    </row>
    <row r="8" customFormat="false" ht="15" hidden="false" customHeight="true" outlineLevel="0" collapsed="false">
      <c r="A8" s="71" t="s">
        <v>261</v>
      </c>
      <c r="B8" s="71" t="s">
        <v>262</v>
      </c>
      <c r="C8" s="58" t="n">
        <v>4200</v>
      </c>
      <c r="D8" s="93" t="n">
        <v>0.2499</v>
      </c>
      <c r="E8" s="58" t="n">
        <v>105</v>
      </c>
      <c r="F8" s="58" t="n">
        <v>200</v>
      </c>
      <c r="G8" s="81" t="n">
        <f aca="false">E8+F8</f>
        <v>305</v>
      </c>
      <c r="H8" s="89" t="str">
        <f aca="true">IF(OR(G8=0,D8=0),"N/A",TEXT(TODAY()+CEILING(C8/G8,1)*30,"mmm-yyyy"))</f>
        <v>May-2027</v>
      </c>
    </row>
    <row r="9" customFormat="false" ht="15" hidden="false" customHeight="true" outlineLevel="0" collapsed="false">
      <c r="A9" s="69" t="s">
        <v>263</v>
      </c>
      <c r="B9" s="69" t="s">
        <v>262</v>
      </c>
      <c r="C9" s="62" t="n">
        <v>1800</v>
      </c>
      <c r="D9" s="94" t="n">
        <v>0.1999</v>
      </c>
      <c r="E9" s="62" t="n">
        <v>45</v>
      </c>
      <c r="F9" s="62" t="n">
        <v>100</v>
      </c>
      <c r="G9" s="80" t="n">
        <f aca="false">E9+F9</f>
        <v>145</v>
      </c>
      <c r="H9" s="91" t="str">
        <f aca="true">IF(OR(G9=0,D9=0),"N/A",TEXT(TODAY()+CEILING(C9/G9,1)*30,"mmm-yyyy"))</f>
        <v>Apr-2027</v>
      </c>
    </row>
    <row r="10" customFormat="false" ht="15" hidden="false" customHeight="true" outlineLevel="0" collapsed="false">
      <c r="A10" s="71" t="s">
        <v>264</v>
      </c>
      <c r="B10" s="71" t="s">
        <v>265</v>
      </c>
      <c r="C10" s="58" t="n">
        <v>8500</v>
      </c>
      <c r="D10" s="93" t="n">
        <v>0.0505</v>
      </c>
      <c r="E10" s="58" t="n">
        <v>95</v>
      </c>
      <c r="F10" s="58" t="n">
        <v>50</v>
      </c>
      <c r="G10" s="81" t="n">
        <f aca="false">E10+F10</f>
        <v>145</v>
      </c>
      <c r="H10" s="89" t="str">
        <f aca="true">IF(OR(G10=0,D10=0),"N/A",TEXT(TODAY()+CEILING(C10/G10,1)*30,"mmm-yyyy"))</f>
        <v>Feb-2031</v>
      </c>
    </row>
    <row r="11" customFormat="false" ht="15" hidden="false" customHeight="true" outlineLevel="0" collapsed="false">
      <c r="A11" s="69" t="s">
        <v>266</v>
      </c>
      <c r="B11" s="69" t="s">
        <v>267</v>
      </c>
      <c r="C11" s="62" t="n">
        <v>12400</v>
      </c>
      <c r="D11" s="94" t="n">
        <v>0.0675</v>
      </c>
      <c r="E11" s="62" t="n">
        <v>285</v>
      </c>
      <c r="F11" s="62" t="n">
        <v>0</v>
      </c>
      <c r="G11" s="80" t="n">
        <f aca="false">E11+F11</f>
        <v>285</v>
      </c>
      <c r="H11" s="91" t="str">
        <f aca="true">IF(OR(G11=0,D11=0),"N/A",TEXT(TODAY()+CEILING(C11/G11,1)*30,"mmm-yyyy"))</f>
        <v>Nov-2029</v>
      </c>
    </row>
    <row r="12" customFormat="false" ht="15" hidden="false" customHeight="true" outlineLevel="0" collapsed="false">
      <c r="A12" s="71" t="s">
        <v>268</v>
      </c>
      <c r="B12" s="71" t="s">
        <v>269</v>
      </c>
      <c r="C12" s="58" t="n">
        <v>3200</v>
      </c>
      <c r="D12" s="93" t="n">
        <v>0.125</v>
      </c>
      <c r="E12" s="58" t="n">
        <v>120</v>
      </c>
      <c r="F12" s="58" t="n">
        <v>80</v>
      </c>
      <c r="G12" s="81" t="n">
        <f aca="false">E12+F12</f>
        <v>200</v>
      </c>
      <c r="H12" s="89" t="str">
        <f aca="true">IF(OR(G12=0,D12=0),"N/A",TEXT(TODAY()+CEILING(C12/G12,1)*30,"mmm-yyyy"))</f>
        <v>Jul-2027</v>
      </c>
    </row>
    <row r="13" customFormat="false" ht="15" hidden="false" customHeight="true" outlineLevel="0" collapsed="false">
      <c r="A13" s="79" t="s">
        <v>138</v>
      </c>
      <c r="B13" s="79"/>
      <c r="C13" s="66" t="n">
        <f aca="false">SUM(C8:C12)</f>
        <v>30100</v>
      </c>
      <c r="D13" s="79"/>
      <c r="E13" s="66" t="n">
        <f aca="false">SUM(E8:E12)</f>
        <v>650</v>
      </c>
      <c r="F13" s="66" t="n">
        <f aca="false">SUM(F8:F12)</f>
        <v>430</v>
      </c>
      <c r="G13" s="66" t="n">
        <f aca="false">SUM(G8:G12)</f>
        <v>1080</v>
      </c>
      <c r="H13" s="79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1" width="28"/>
    <col collapsed="false" customWidth="true" hidden="false" outlineLevel="0" max="2" min="2" style="41" width="18"/>
    <col collapsed="false" customWidth="true" hidden="false" outlineLevel="0" max="3" min="3" style="41" width="20"/>
    <col collapsed="false" customWidth="true" hidden="false" outlineLevel="0" max="4" min="4" style="41" width="16"/>
    <col collapsed="false" customWidth="true" hidden="false" outlineLevel="0" max="5" min="5" style="41" width="14"/>
  </cols>
  <sheetData>
    <row r="1" customFormat="false" ht="30" hidden="false" customHeight="true" outlineLevel="0" collapsed="false">
      <c r="A1" s="73" t="s">
        <v>270</v>
      </c>
      <c r="B1" s="73"/>
      <c r="C1" s="73"/>
      <c r="D1" s="73"/>
      <c r="E1" s="73"/>
    </row>
    <row r="3" customFormat="false" ht="15" hidden="false" customHeight="true" outlineLevel="0" collapsed="false">
      <c r="A3" s="5" t="s">
        <v>271</v>
      </c>
      <c r="B3" s="5"/>
      <c r="C3" s="5"/>
      <c r="D3" s="5"/>
      <c r="E3" s="5"/>
    </row>
    <row r="4" customFormat="false" ht="15" hidden="false" customHeight="true" outlineLevel="0" collapsed="false">
      <c r="A4" s="78" t="s">
        <v>272</v>
      </c>
      <c r="B4" s="78" t="s">
        <v>273</v>
      </c>
      <c r="C4" s="78" t="s">
        <v>180</v>
      </c>
      <c r="D4" s="78" t="s">
        <v>155</v>
      </c>
      <c r="E4" s="78"/>
    </row>
    <row r="5" customFormat="false" ht="15" hidden="false" customHeight="true" outlineLevel="0" collapsed="false">
      <c r="A5" s="69" t="s">
        <v>274</v>
      </c>
      <c r="B5" s="62" t="n">
        <v>5200</v>
      </c>
      <c r="C5" s="69" t="s">
        <v>275</v>
      </c>
      <c r="D5" s="69"/>
      <c r="E5" s="69"/>
    </row>
    <row r="6" customFormat="false" ht="15" hidden="false" customHeight="true" outlineLevel="0" collapsed="false">
      <c r="A6" s="71" t="s">
        <v>276</v>
      </c>
      <c r="B6" s="58" t="n">
        <v>3800</v>
      </c>
      <c r="C6" s="71" t="s">
        <v>275</v>
      </c>
      <c r="D6" s="71"/>
      <c r="E6" s="71"/>
    </row>
    <row r="7" customFormat="false" ht="15" hidden="false" customHeight="true" outlineLevel="0" collapsed="false">
      <c r="A7" s="69" t="s">
        <v>277</v>
      </c>
      <c r="B7" s="62" t="n">
        <v>7400</v>
      </c>
      <c r="C7" s="69" t="s">
        <v>275</v>
      </c>
      <c r="D7" s="69"/>
      <c r="E7" s="69"/>
    </row>
    <row r="8" customFormat="false" ht="15" hidden="false" customHeight="true" outlineLevel="0" collapsed="false">
      <c r="A8" s="71" t="s">
        <v>278</v>
      </c>
      <c r="B8" s="58" t="n">
        <v>4200</v>
      </c>
      <c r="C8" s="71" t="s">
        <v>279</v>
      </c>
      <c r="D8" s="71"/>
      <c r="E8" s="71"/>
    </row>
    <row r="9" customFormat="false" ht="15" hidden="false" customHeight="true" outlineLevel="0" collapsed="false">
      <c r="A9" s="69" t="s">
        <v>280</v>
      </c>
      <c r="B9" s="62" t="n">
        <v>9500</v>
      </c>
      <c r="C9" s="69" t="s">
        <v>281</v>
      </c>
      <c r="D9" s="69"/>
      <c r="E9" s="69"/>
    </row>
    <row r="10" customFormat="false" ht="15" hidden="false" customHeight="true" outlineLevel="0" collapsed="false">
      <c r="A10" s="71" t="s">
        <v>282</v>
      </c>
      <c r="B10" s="58" t="n">
        <v>14000</v>
      </c>
      <c r="C10" s="71" t="s">
        <v>283</v>
      </c>
      <c r="D10" s="71"/>
      <c r="E10" s="71"/>
    </row>
    <row r="11" customFormat="false" ht="15" hidden="false" customHeight="true" outlineLevel="0" collapsed="false">
      <c r="A11" s="69" t="s">
        <v>284</v>
      </c>
      <c r="B11" s="62" t="n">
        <v>0</v>
      </c>
      <c r="C11" s="69" t="s">
        <v>137</v>
      </c>
      <c r="D11" s="69"/>
      <c r="E11" s="69"/>
    </row>
    <row r="12" customFormat="false" ht="15" hidden="false" customHeight="true" outlineLevel="0" collapsed="false">
      <c r="A12" s="95" t="s">
        <v>285</v>
      </c>
      <c r="B12" s="96" t="n">
        <f aca="false">SUM(B5:B11)</f>
        <v>44100</v>
      </c>
      <c r="C12" s="97"/>
      <c r="D12" s="97"/>
      <c r="E12" s="97"/>
    </row>
    <row r="13" customFormat="false" ht="6" hidden="false" customHeight="true" outlineLevel="0" collapsed="false"/>
    <row r="14" customFormat="false" ht="15" hidden="false" customHeight="true" outlineLevel="0" collapsed="false">
      <c r="A14" s="98" t="s">
        <v>286</v>
      </c>
      <c r="B14" s="98"/>
      <c r="C14" s="98"/>
      <c r="D14" s="98"/>
      <c r="E14" s="98"/>
    </row>
    <row r="15" customFormat="false" ht="15" hidden="false" customHeight="true" outlineLevel="0" collapsed="false">
      <c r="A15" s="78" t="s">
        <v>287</v>
      </c>
      <c r="B15" s="78" t="s">
        <v>255</v>
      </c>
      <c r="C15" s="78" t="s">
        <v>182</v>
      </c>
      <c r="D15" s="78" t="s">
        <v>155</v>
      </c>
      <c r="E15" s="78"/>
    </row>
    <row r="16" customFormat="false" ht="15" hidden="false" customHeight="true" outlineLevel="0" collapsed="false">
      <c r="A16" s="71" t="s">
        <v>288</v>
      </c>
      <c r="B16" s="58" t="n">
        <v>4200</v>
      </c>
      <c r="C16" s="71" t="s">
        <v>262</v>
      </c>
      <c r="D16" s="71"/>
      <c r="E16" s="71"/>
    </row>
    <row r="17" customFormat="false" ht="15" hidden="false" customHeight="true" outlineLevel="0" collapsed="false">
      <c r="A17" s="69" t="s">
        <v>289</v>
      </c>
      <c r="B17" s="62" t="n">
        <v>1800</v>
      </c>
      <c r="C17" s="69" t="s">
        <v>262</v>
      </c>
      <c r="D17" s="69"/>
      <c r="E17" s="69"/>
    </row>
    <row r="18" customFormat="false" ht="15" hidden="false" customHeight="true" outlineLevel="0" collapsed="false">
      <c r="A18" s="71" t="s">
        <v>264</v>
      </c>
      <c r="B18" s="58" t="n">
        <v>8500</v>
      </c>
      <c r="C18" s="71" t="s">
        <v>264</v>
      </c>
      <c r="D18" s="71"/>
      <c r="E18" s="71"/>
    </row>
    <row r="19" customFormat="false" ht="15" hidden="false" customHeight="true" outlineLevel="0" collapsed="false">
      <c r="A19" s="69" t="s">
        <v>266</v>
      </c>
      <c r="B19" s="62" t="n">
        <v>12400</v>
      </c>
      <c r="C19" s="69" t="s">
        <v>267</v>
      </c>
      <c r="D19" s="69"/>
      <c r="E19" s="69"/>
    </row>
    <row r="20" customFormat="false" ht="15" hidden="false" customHeight="true" outlineLevel="0" collapsed="false">
      <c r="A20" s="71" t="s">
        <v>268</v>
      </c>
      <c r="B20" s="58" t="n">
        <v>3200</v>
      </c>
      <c r="C20" s="71" t="s">
        <v>269</v>
      </c>
      <c r="D20" s="71"/>
      <c r="E20" s="71"/>
    </row>
    <row r="21" customFormat="false" ht="15" hidden="false" customHeight="true" outlineLevel="0" collapsed="false">
      <c r="A21" s="99" t="s">
        <v>290</v>
      </c>
      <c r="B21" s="100" t="n">
        <f aca="false">SUM(B16:B20)</f>
        <v>30100</v>
      </c>
      <c r="C21" s="101"/>
      <c r="D21" s="101"/>
      <c r="E21" s="101"/>
    </row>
    <row r="23" customFormat="false" ht="6" hidden="false" customHeight="true" outlineLevel="0" collapsed="false"/>
    <row r="24" customFormat="false" ht="31.5" hidden="false" customHeight="true" outlineLevel="0" collapsed="false">
      <c r="A24" s="102" t="s">
        <v>291</v>
      </c>
      <c r="B24" s="102"/>
      <c r="C24" s="103" t="n">
        <f aca="false">B12-B21</f>
        <v>14000</v>
      </c>
    </row>
    <row r="26" customFormat="false" ht="6" hidden="false" customHeight="true" outlineLevel="0" collapsed="false"/>
    <row r="27" customFormat="false" ht="15" hidden="false" customHeight="true" outlineLevel="0" collapsed="false">
      <c r="A27" s="5" t="s">
        <v>292</v>
      </c>
      <c r="B27" s="5"/>
      <c r="C27" s="5"/>
      <c r="D27" s="5"/>
      <c r="E27" s="5"/>
    </row>
    <row r="28" customFormat="false" ht="15" hidden="false" customHeight="true" outlineLevel="0" collapsed="false">
      <c r="A28" s="78" t="s">
        <v>158</v>
      </c>
      <c r="B28" s="78" t="s">
        <v>293</v>
      </c>
      <c r="C28" s="78" t="s">
        <v>294</v>
      </c>
      <c r="D28" s="78" t="s">
        <v>295</v>
      </c>
      <c r="E28" s="78" t="s">
        <v>296</v>
      </c>
    </row>
    <row r="29" customFormat="false" ht="15" hidden="false" customHeight="true" outlineLevel="0" collapsed="false">
      <c r="A29" s="69" t="s">
        <v>297</v>
      </c>
      <c r="B29" s="62" t="n">
        <v>43100</v>
      </c>
      <c r="C29" s="62" t="n">
        <v>30100</v>
      </c>
      <c r="D29" s="80" t="n">
        <f aca="false">B29-C29</f>
        <v>13000</v>
      </c>
      <c r="E29" s="104" t="s">
        <v>298</v>
      </c>
    </row>
    <row r="30" customFormat="false" ht="15" hidden="false" customHeight="true" outlineLevel="0" collapsed="false">
      <c r="A30" s="71" t="s">
        <v>299</v>
      </c>
      <c r="B30" s="58" t="n">
        <v>44200</v>
      </c>
      <c r="C30" s="58" t="n">
        <v>29500</v>
      </c>
      <c r="D30" s="81" t="n">
        <f aca="false">B30-C30</f>
        <v>14700</v>
      </c>
      <c r="E30" s="88" t="n">
        <f aca="false">D30-D29</f>
        <v>1700</v>
      </c>
    </row>
    <row r="31" customFormat="false" ht="15" hidden="false" customHeight="true" outlineLevel="0" collapsed="false">
      <c r="A31" s="69" t="s">
        <v>300</v>
      </c>
      <c r="B31" s="62" t="n">
        <v>44100</v>
      </c>
      <c r="C31" s="62" t="n">
        <v>30100</v>
      </c>
      <c r="D31" s="80" t="n">
        <f aca="false">B31-C31</f>
        <v>14000</v>
      </c>
      <c r="E31" s="90" t="n">
        <f aca="false">D31-D30</f>
        <v>-700</v>
      </c>
    </row>
  </sheetData>
  <mergeCells count="5">
    <mergeCell ref="A1:E1"/>
    <mergeCell ref="A3:E3"/>
    <mergeCell ref="A14:E14"/>
    <mergeCell ref="A24:B24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1" width="36"/>
    <col collapsed="false" customWidth="true" hidden="false" outlineLevel="0" max="3" min="2" style="41" width="18"/>
    <col collapsed="false" customWidth="true" hidden="false" outlineLevel="0" max="4" min="4" style="41" width="14"/>
    <col collapsed="false" customWidth="true" hidden="false" outlineLevel="0" max="5" min="5" style="41" width="12"/>
  </cols>
  <sheetData>
    <row r="1" customFormat="false" ht="30" hidden="false" customHeight="true" outlineLevel="0" collapsed="false">
      <c r="A1" s="73" t="s">
        <v>301</v>
      </c>
      <c r="B1" s="73"/>
      <c r="C1" s="73"/>
      <c r="D1" s="73"/>
      <c r="E1" s="73"/>
    </row>
    <row r="3" customFormat="false" ht="15" hidden="false" customHeight="true" outlineLevel="0" collapsed="false">
      <c r="A3" s="5" t="s">
        <v>302</v>
      </c>
      <c r="B3" s="5"/>
      <c r="C3" s="5"/>
      <c r="D3" s="5"/>
      <c r="E3" s="5"/>
    </row>
    <row r="4" customFormat="false" ht="15" hidden="false" customHeight="true" outlineLevel="0" collapsed="false">
      <c r="A4" s="105" t="s">
        <v>303</v>
      </c>
      <c r="B4" s="106" t="n">
        <v>120000</v>
      </c>
    </row>
    <row r="5" customFormat="false" ht="15" hidden="false" customHeight="true" outlineLevel="0" collapsed="false">
      <c r="A5" s="105" t="s">
        <v>304</v>
      </c>
      <c r="B5" s="106" t="n">
        <v>12000</v>
      </c>
    </row>
    <row r="6" customFormat="false" ht="15" hidden="false" customHeight="true" outlineLevel="0" collapsed="false">
      <c r="A6" s="105" t="s">
        <v>305</v>
      </c>
      <c r="B6" s="106" t="n">
        <v>14600</v>
      </c>
    </row>
    <row r="7" customFormat="false" ht="15" hidden="false" customHeight="true" outlineLevel="0" collapsed="false">
      <c r="A7" s="105" t="s">
        <v>306</v>
      </c>
      <c r="B7" s="107" t="n">
        <v>0.153</v>
      </c>
    </row>
    <row r="8" customFormat="false" ht="15" hidden="false" customHeight="true" outlineLevel="0" collapsed="false">
      <c r="A8" s="105" t="s">
        <v>307</v>
      </c>
      <c r="B8" s="107" t="n">
        <v>0.22</v>
      </c>
    </row>
    <row r="9" customFormat="false" ht="15" hidden="false" customHeight="true" outlineLevel="0" collapsed="false">
      <c r="A9" s="105" t="s">
        <v>308</v>
      </c>
      <c r="B9" s="107" t="n">
        <v>0</v>
      </c>
    </row>
    <row r="11" customFormat="false" ht="6" hidden="false" customHeight="true" outlineLevel="0" collapsed="false"/>
    <row r="12" customFormat="false" ht="15" hidden="false" customHeight="true" outlineLevel="0" collapsed="false">
      <c r="A12" s="37" t="s">
        <v>309</v>
      </c>
      <c r="B12" s="37"/>
      <c r="C12" s="37"/>
      <c r="D12" s="37"/>
      <c r="E12" s="37"/>
    </row>
    <row r="13" customFormat="false" ht="15" hidden="false" customHeight="true" outlineLevel="0" collapsed="false">
      <c r="A13" s="61" t="s">
        <v>310</v>
      </c>
      <c r="B13" s="63" t="n">
        <f aca="false">B4-B5</f>
        <v>108000</v>
      </c>
    </row>
    <row r="14" customFormat="false" ht="15" hidden="false" customHeight="true" outlineLevel="0" collapsed="false">
      <c r="A14" s="57" t="s">
        <v>311</v>
      </c>
      <c r="B14" s="59" t="n">
        <f aca="false">(B13*0.9235)*B7</f>
        <v>15259.914</v>
      </c>
    </row>
    <row r="15" customFormat="false" ht="15" hidden="false" customHeight="true" outlineLevel="0" collapsed="false">
      <c r="A15" s="61" t="s">
        <v>312</v>
      </c>
      <c r="B15" s="63" t="n">
        <f aca="false">B14/2</f>
        <v>7629.957</v>
      </c>
    </row>
    <row r="16" customFormat="false" ht="15" hidden="false" customHeight="true" outlineLevel="0" collapsed="false">
      <c r="A16" s="57" t="s">
        <v>313</v>
      </c>
      <c r="B16" s="59" t="n">
        <f aca="false">B13*0.2</f>
        <v>21600</v>
      </c>
    </row>
    <row r="17" customFormat="false" ht="15" hidden="false" customHeight="true" outlineLevel="0" collapsed="false">
      <c r="A17" s="61" t="s">
        <v>314</v>
      </c>
      <c r="B17" s="63" t="n">
        <f aca="false">B13-B15-B6</f>
        <v>85770.043</v>
      </c>
    </row>
    <row r="18" customFormat="false" ht="15" hidden="false" customHeight="true" outlineLevel="0" collapsed="false">
      <c r="A18" s="57" t="s">
        <v>315</v>
      </c>
      <c r="B18" s="59" t="n">
        <f aca="false">B17*B8</f>
        <v>18869.40946</v>
      </c>
    </row>
    <row r="19" customFormat="false" ht="15" hidden="false" customHeight="true" outlineLevel="0" collapsed="false">
      <c r="A19" s="61" t="s">
        <v>316</v>
      </c>
      <c r="B19" s="63" t="n">
        <f aca="false">B17*B9</f>
        <v>0</v>
      </c>
    </row>
    <row r="20" customFormat="false" ht="15" hidden="false" customHeight="true" outlineLevel="0" collapsed="false">
      <c r="A20" s="108" t="s">
        <v>317</v>
      </c>
      <c r="B20" s="109" t="n">
        <f aca="false">B14+B18+B19</f>
        <v>34129.32346</v>
      </c>
    </row>
    <row r="21" customFormat="false" ht="15" hidden="false" customHeight="true" outlineLevel="0" collapsed="false">
      <c r="A21" s="110" t="s">
        <v>318</v>
      </c>
      <c r="B21" s="111" t="n">
        <f aca="false">IF(B4=0,0,B20/B4)</f>
        <v>0.284411028833333</v>
      </c>
    </row>
    <row r="24" customFormat="false" ht="6" hidden="false" customHeight="true" outlineLevel="0" collapsed="false"/>
    <row r="25" customFormat="false" ht="15" hidden="false" customHeight="true" outlineLevel="0" collapsed="false">
      <c r="A25" s="5" t="s">
        <v>319</v>
      </c>
      <c r="B25" s="5"/>
      <c r="C25" s="5"/>
      <c r="D25" s="5"/>
      <c r="E25" s="5"/>
    </row>
    <row r="26" customFormat="false" ht="15" hidden="false" customHeight="true" outlineLevel="0" collapsed="false">
      <c r="A26" s="78" t="s">
        <v>320</v>
      </c>
      <c r="B26" s="78" t="s">
        <v>321</v>
      </c>
      <c r="C26" s="78" t="s">
        <v>322</v>
      </c>
      <c r="D26" s="78" t="s">
        <v>323</v>
      </c>
      <c r="E26" s="78" t="s">
        <v>231</v>
      </c>
    </row>
    <row r="27" customFormat="false" ht="15" hidden="false" customHeight="true" outlineLevel="0" collapsed="false">
      <c r="A27" s="69" t="s">
        <v>324</v>
      </c>
      <c r="B27" s="69" t="s">
        <v>325</v>
      </c>
      <c r="C27" s="63" t="n">
        <f aca="false">B20/4</f>
        <v>8532.330865</v>
      </c>
      <c r="D27" s="62" t="n">
        <v>0</v>
      </c>
      <c r="E27" s="91" t="str">
        <f aca="false">IF(D27&gt;=C27,"✅ Paid","⚠️ Due")</f>
        <v>⚠️ Due</v>
      </c>
    </row>
    <row r="28" customFormat="false" ht="15" hidden="false" customHeight="true" outlineLevel="0" collapsed="false">
      <c r="A28" s="71" t="s">
        <v>326</v>
      </c>
      <c r="B28" s="71" t="s">
        <v>327</v>
      </c>
      <c r="C28" s="59" t="n">
        <f aca="false">B20/4</f>
        <v>8532.330865</v>
      </c>
      <c r="D28" s="58" t="n">
        <v>0</v>
      </c>
      <c r="E28" s="89" t="str">
        <f aca="false">IF(D28&gt;=C28,"✅ Paid","⚠️ Due")</f>
        <v>⚠️ Due</v>
      </c>
    </row>
    <row r="29" customFormat="false" ht="15" hidden="false" customHeight="true" outlineLevel="0" collapsed="false">
      <c r="A29" s="69" t="s">
        <v>328</v>
      </c>
      <c r="B29" s="69" t="s">
        <v>329</v>
      </c>
      <c r="C29" s="63" t="n">
        <f aca="false">B20/4</f>
        <v>8532.330865</v>
      </c>
      <c r="D29" s="62" t="n">
        <v>0</v>
      </c>
      <c r="E29" s="91" t="str">
        <f aca="false">IF(D29&gt;=C29,"✅ Paid","⚠️ Due")</f>
        <v>⚠️ Due</v>
      </c>
    </row>
    <row r="30" customFormat="false" ht="15" hidden="false" customHeight="true" outlineLevel="0" collapsed="false">
      <c r="A30" s="71" t="s">
        <v>330</v>
      </c>
      <c r="B30" s="71" t="s">
        <v>331</v>
      </c>
      <c r="C30" s="59" t="n">
        <f aca="false">B20/4</f>
        <v>8532.330865</v>
      </c>
      <c r="D30" s="58" t="n">
        <v>0</v>
      </c>
      <c r="E30" s="89" t="str">
        <f aca="false">IF(D30&gt;=C30,"✅ Paid","⚠️ Due")</f>
        <v>⚠️ Due</v>
      </c>
    </row>
  </sheetData>
  <mergeCells count="4">
    <mergeCell ref="A1:E1"/>
    <mergeCell ref="A3:E3"/>
    <mergeCell ref="A12:E12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2026-03-30T17:55:35Z</dcterms:created>
  <dc:creator>openpyxl</dc:creator>
  <dc:description/>
  <dc:language>en-US</dc:language>
  <cp:lastModifiedBy/>
  <dcterms:modified xsi:type="dcterms:W3CDTF">2026-03-30T21:15:29Z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